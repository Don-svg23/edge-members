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l" sheetId="1" state="visible" r:id="rId1"/>
  </sheets>
  <definedNames/>
  <calcPr calcId="124519" fullCalcOnLoad="1"/>
</workbook>
</file>

<file path=xl/styles.xml><?xml version="1.0" encoding="utf-8"?>
<styleSheet xmlns="http://schemas.openxmlformats.org/spreadsheetml/2006/main">
  <numFmts count="3">
    <numFmt numFmtId="164" formatCode="yyyy-mm-dd"/>
    <numFmt numFmtId="165" formatCode="0.00&quot;R&quot;"/>
    <numFmt numFmtId="166" formatCode="0.0%"/>
  </numFmts>
  <fonts count="8">
    <font>
      <name val="Calibri"/>
      <family val="2"/>
      <color theme="1"/>
      <sz val="11"/>
      <scheme val="minor"/>
    </font>
    <font>
      <name val="Georgia"/>
      <b val="1"/>
      <color rgb="00191919"/>
      <sz val="18"/>
    </font>
    <font>
      <name val="Calibri"/>
      <i val="1"/>
      <color rgb="005E5E5F"/>
      <sz val="10"/>
    </font>
    <font>
      <name val="Georgia"/>
      <b val="1"/>
      <color rgb="00FFFFFF"/>
      <sz val="11"/>
    </font>
    <font>
      <name val="Calibri"/>
      <color rgb="00191919"/>
      <sz val="11"/>
    </font>
    <font>
      <name val="Georgia"/>
      <b val="1"/>
      <color rgb="00191919"/>
      <sz val="13"/>
    </font>
    <font>
      <name val="Calibri"/>
      <b val="1"/>
      <color rgb="005E5E5F"/>
      <sz val="10"/>
    </font>
    <font>
      <name val="Georgia"/>
      <b val="1"/>
      <color rgb="00191919"/>
      <sz val="20"/>
    </font>
  </fonts>
  <fills count="4">
    <fill>
      <patternFill/>
    </fill>
    <fill>
      <patternFill patternType="gray125"/>
    </fill>
    <fill>
      <patternFill patternType="solid">
        <fgColor rgb="00191919"/>
      </patternFill>
    </fill>
    <fill>
      <patternFill patternType="solid">
        <fgColor rgb="00F4F3F3"/>
      </patternFill>
    </fill>
  </fills>
  <borders count="2">
    <border>
      <left/>
      <right/>
      <top/>
      <bottom/>
      <diagonal/>
    </border>
    <border>
      <left style="thin">
        <color rgb="00C4C7C7"/>
      </left>
      <right style="thin">
        <color rgb="00C4C7C7"/>
      </right>
      <top style="thin">
        <color rgb="00C4C7C7"/>
      </top>
      <bottom style="thin">
        <color rgb="00C4C7C7"/>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5" fillId="0" borderId="0" pivotButton="0" quotePrefix="0" xfId="0"/>
    <xf numFmtId="164" fontId="4" fillId="0" borderId="1" pivotButton="0" quotePrefix="0" xfId="0"/>
    <xf numFmtId="0" fontId="4" fillId="0" borderId="1" pivotButton="0" quotePrefix="0" xfId="0"/>
    <xf numFmtId="165" fontId="4" fillId="3" borderId="1" pivotButton="0" quotePrefix="0" xfId="0"/>
    <xf numFmtId="0" fontId="4" fillId="3" borderId="1" pivotButton="0" quotePrefix="0" xfId="0"/>
    <xf numFmtId="0" fontId="6" fillId="0" borderId="0" pivotButton="0" quotePrefix="0" xfId="0"/>
    <xf numFmtId="166" fontId="5" fillId="0" borderId="0" pivotButton="0" quotePrefix="0" xfId="0"/>
    <xf numFmtId="165" fontId="5" fillId="0" borderId="0" pivotButton="0" quotePrefix="0" xfId="0"/>
    <xf numFmtId="165"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4"/>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0" customWidth="1" min="3" max="3"/>
    <col width="10" customWidth="1" min="4" max="4"/>
    <col width="10" customWidth="1" min="5" max="5"/>
    <col width="10" customWidth="1" min="6" max="6"/>
    <col width="10" customWidth="1" min="7" max="7"/>
    <col width="11" customWidth="1" min="8" max="8"/>
    <col width="10" customWidth="1" min="9" max="9"/>
    <col width="18" customWidth="1" min="10" max="10"/>
    <col width="30" customWidth="1" min="11" max="11"/>
    <col width="22" customWidth="1" min="13" max="13"/>
  </cols>
  <sheetData>
    <row r="1">
      <c r="A1" s="1" t="inlineStr">
        <is>
          <t>Edge Trading Co. — Trading Journal</t>
        </is>
      </c>
    </row>
    <row r="2">
      <c r="A2" s="2" t="inlineStr">
        <is>
          <t>Log every trade. R-multiple and stats calculate automatically.</t>
        </is>
      </c>
    </row>
    <row r="4">
      <c r="A4" s="3" t="inlineStr">
        <is>
          <t>Date</t>
        </is>
      </c>
      <c r="B4" s="3" t="inlineStr">
        <is>
          <t>Symbol</t>
        </is>
      </c>
      <c r="C4" s="3" t="inlineStr">
        <is>
          <t>Direction</t>
        </is>
      </c>
      <c r="D4" s="3" t="inlineStr">
        <is>
          <t>Entry</t>
        </is>
      </c>
      <c r="E4" s="3" t="inlineStr">
        <is>
          <t>Stop</t>
        </is>
      </c>
      <c r="F4" s="3" t="inlineStr">
        <is>
          <t>Exit</t>
        </is>
      </c>
      <c r="G4" s="3" t="inlineStr">
        <is>
          <t>Risk $</t>
        </is>
      </c>
      <c r="H4" s="3" t="inlineStr">
        <is>
          <t>R Multiple</t>
        </is>
      </c>
      <c r="I4" s="3" t="inlineStr">
        <is>
          <t>Result</t>
        </is>
      </c>
      <c r="J4" s="3" t="inlineStr">
        <is>
          <t>Emotion / Tag</t>
        </is>
      </c>
      <c r="K4" s="3" t="inlineStr">
        <is>
          <t>Notes</t>
        </is>
      </c>
      <c r="M4" s="4" t="inlineStr">
        <is>
          <t>Summary</t>
        </is>
      </c>
    </row>
    <row r="5">
      <c r="A5" s="5" t="n"/>
      <c r="B5" s="6" t="n"/>
      <c r="C5" s="6" t="n"/>
      <c r="D5" s="6" t="n"/>
      <c r="E5" s="6" t="n"/>
      <c r="F5" s="6" t="n"/>
      <c r="G5" s="6" t="n"/>
      <c r="H5" s="7">
        <f>IF(OR(D5="",E5="",F5="",C5=""),"",IF(C5="short",(D5-F5)/ABS(D5-E5),(F5-D5)/ABS(D5-E5)))</f>
        <v/>
      </c>
      <c r="I5" s="8">
        <f>IF(H5="","",IF(H5&gt;0,"Win",IF(H5&lt;0,"Loss","Breakeven")))</f>
        <v/>
      </c>
      <c r="J5" s="6" t="n"/>
      <c r="K5" s="6" t="n"/>
    </row>
    <row r="6">
      <c r="A6" s="5" t="n"/>
      <c r="B6" s="6" t="n"/>
      <c r="C6" s="6" t="n"/>
      <c r="D6" s="6" t="n"/>
      <c r="E6" s="6" t="n"/>
      <c r="F6" s="6" t="n"/>
      <c r="G6" s="6" t="n"/>
      <c r="H6" s="7">
        <f>IF(OR(D6="",E6="",F6="",C6=""),"",IF(C6="short",(D6-F6)/ABS(D6-E6),(F6-D6)/ABS(D6-E6)))</f>
        <v/>
      </c>
      <c r="I6" s="8">
        <f>IF(H6="","",IF(H6&gt;0,"Win",IF(H6&lt;0,"Loss","Breakeven")))</f>
        <v/>
      </c>
      <c r="J6" s="6" t="n"/>
      <c r="K6" s="6" t="n"/>
      <c r="M6" s="9" t="inlineStr">
        <is>
          <t>Total trades logged</t>
        </is>
      </c>
      <c r="O6" s="4">
        <f>COUNT(H5:H204)</f>
        <v/>
      </c>
    </row>
    <row r="7">
      <c r="A7" s="5" t="n"/>
      <c r="B7" s="6" t="n"/>
      <c r="C7" s="6" t="n"/>
      <c r="D7" s="6" t="n"/>
      <c r="E7" s="6" t="n"/>
      <c r="F7" s="6" t="n"/>
      <c r="G7" s="6" t="n"/>
      <c r="H7" s="7">
        <f>IF(OR(D7="",E7="",F7="",C7=""),"",IF(C7="short",(D7-F7)/ABS(D7-E7),(F7-D7)/ABS(D7-E7)))</f>
        <v/>
      </c>
      <c r="I7" s="8">
        <f>IF(H7="","",IF(H7&gt;0,"Win",IF(H7&lt;0,"Loss","Breakeven")))</f>
        <v/>
      </c>
      <c r="J7" s="6" t="n"/>
      <c r="K7" s="6" t="n"/>
    </row>
    <row r="8">
      <c r="A8" s="5" t="n"/>
      <c r="B8" s="6" t="n"/>
      <c r="C8" s="6" t="n"/>
      <c r="D8" s="6" t="n"/>
      <c r="E8" s="6" t="n"/>
      <c r="F8" s="6" t="n"/>
      <c r="G8" s="6" t="n"/>
      <c r="H8" s="7">
        <f>IF(OR(D8="",E8="",F8="",C8=""),"",IF(C8="short",(D8-F8)/ABS(D8-E8),(F8-D8)/ABS(D8-E8)))</f>
        <v/>
      </c>
      <c r="I8" s="8">
        <f>IF(H8="","",IF(H8&gt;0,"Win",IF(H8&lt;0,"Loss","Breakeven")))</f>
        <v/>
      </c>
      <c r="J8" s="6" t="n"/>
      <c r="K8" s="6" t="n"/>
      <c r="M8" s="9" t="inlineStr">
        <is>
          <t>Win rate</t>
        </is>
      </c>
      <c r="O8" s="10">
        <f>IFERROR(COUNTIF(H5:H204,"&gt;0")/COUNT(H5:H204),"")</f>
        <v/>
      </c>
    </row>
    <row r="9">
      <c r="A9" s="5" t="n"/>
      <c r="B9" s="6" t="n"/>
      <c r="C9" s="6" t="n"/>
      <c r="D9" s="6" t="n"/>
      <c r="E9" s="6" t="n"/>
      <c r="F9" s="6" t="n"/>
      <c r="G9" s="6" t="n"/>
      <c r="H9" s="7">
        <f>IF(OR(D9="",E9="",F9="",C9=""),"",IF(C9="short",(D9-F9)/ABS(D9-E9),(F9-D9)/ABS(D9-E9)))</f>
        <v/>
      </c>
      <c r="I9" s="8">
        <f>IF(H9="","",IF(H9&gt;0,"Win",IF(H9&lt;0,"Loss","Breakeven")))</f>
        <v/>
      </c>
      <c r="J9" s="6" t="n"/>
      <c r="K9" s="6" t="n"/>
    </row>
    <row r="10">
      <c r="A10" s="5" t="n"/>
      <c r="B10" s="6" t="n"/>
      <c r="C10" s="6" t="n"/>
      <c r="D10" s="6" t="n"/>
      <c r="E10" s="6" t="n"/>
      <c r="F10" s="6" t="n"/>
      <c r="G10" s="6" t="n"/>
      <c r="H10" s="7">
        <f>IF(OR(D10="",E10="",F10="",C10=""),"",IF(C10="short",(D10-F10)/ABS(D10-E10),(F10-D10)/ABS(D10-E10)))</f>
        <v/>
      </c>
      <c r="I10" s="8">
        <f>IF(H10="","",IF(H10&gt;0,"Win",IF(H10&lt;0,"Loss","Breakeven")))</f>
        <v/>
      </c>
      <c r="J10" s="6" t="n"/>
      <c r="K10" s="6" t="n"/>
      <c r="M10" s="9" t="inlineStr">
        <is>
          <t>Average R</t>
        </is>
      </c>
      <c r="O10" s="11">
        <f>IFERROR(AVERAGE(H5:H204),"")</f>
        <v/>
      </c>
    </row>
    <row r="11">
      <c r="A11" s="5" t="n"/>
      <c r="B11" s="6" t="n"/>
      <c r="C11" s="6" t="n"/>
      <c r="D11" s="6" t="n"/>
      <c r="E11" s="6" t="n"/>
      <c r="F11" s="6" t="n"/>
      <c r="G11" s="6" t="n"/>
      <c r="H11" s="7">
        <f>IF(OR(D11="",E11="",F11="",C11=""),"",IF(C11="short",(D11-F11)/ABS(D11-E11),(F11-D11)/ABS(D11-E11)))</f>
        <v/>
      </c>
      <c r="I11" s="8">
        <f>IF(H11="","",IF(H11&gt;0,"Win",IF(H11&lt;0,"Loss","Breakeven")))</f>
        <v/>
      </c>
      <c r="J11" s="6" t="n"/>
      <c r="K11" s="6" t="n"/>
    </row>
    <row r="12">
      <c r="A12" s="5" t="n"/>
      <c r="B12" s="6" t="n"/>
      <c r="C12" s="6" t="n"/>
      <c r="D12" s="6" t="n"/>
      <c r="E12" s="6" t="n"/>
      <c r="F12" s="6" t="n"/>
      <c r="G12" s="6" t="n"/>
      <c r="H12" s="7">
        <f>IF(OR(D12="",E12="",F12="",C12=""),"",IF(C12="short",(D12-F12)/ABS(D12-E12),(F12-D12)/ABS(D12-E12)))</f>
        <v/>
      </c>
      <c r="I12" s="8">
        <f>IF(H12="","",IF(H12&gt;0,"Win",IF(H12&lt;0,"Loss","Breakeven")))</f>
        <v/>
      </c>
      <c r="J12" s="6" t="n"/>
      <c r="K12" s="6" t="n"/>
      <c r="M12" s="9" t="inlineStr">
        <is>
          <t>Average winner (R)</t>
        </is>
      </c>
      <c r="O12" s="11">
        <f>IFERROR(AVERAGEIF(H5:H204,"&gt;0"),"")</f>
        <v/>
      </c>
    </row>
    <row r="13">
      <c r="A13" s="5" t="n"/>
      <c r="B13" s="6" t="n"/>
      <c r="C13" s="6" t="n"/>
      <c r="D13" s="6" t="n"/>
      <c r="E13" s="6" t="n"/>
      <c r="F13" s="6" t="n"/>
      <c r="G13" s="6" t="n"/>
      <c r="H13" s="7">
        <f>IF(OR(D13="",E13="",F13="",C13=""),"",IF(C13="short",(D13-F13)/ABS(D13-E13),(F13-D13)/ABS(D13-E13)))</f>
        <v/>
      </c>
      <c r="I13" s="8">
        <f>IF(H13="","",IF(H13&gt;0,"Win",IF(H13&lt;0,"Loss","Breakeven")))</f>
        <v/>
      </c>
      <c r="J13" s="6" t="n"/>
      <c r="K13" s="6" t="n"/>
    </row>
    <row r="14">
      <c r="A14" s="5" t="n"/>
      <c r="B14" s="6" t="n"/>
      <c r="C14" s="6" t="n"/>
      <c r="D14" s="6" t="n"/>
      <c r="E14" s="6" t="n"/>
      <c r="F14" s="6" t="n"/>
      <c r="G14" s="6" t="n"/>
      <c r="H14" s="7">
        <f>IF(OR(D14="",E14="",F14="",C14=""),"",IF(C14="short",(D14-F14)/ABS(D14-E14),(F14-D14)/ABS(D14-E14)))</f>
        <v/>
      </c>
      <c r="I14" s="8">
        <f>IF(H14="","",IF(H14&gt;0,"Win",IF(H14&lt;0,"Loss","Breakeven")))</f>
        <v/>
      </c>
      <c r="J14" s="6" t="n"/>
      <c r="K14" s="6" t="n"/>
      <c r="M14" s="9" t="inlineStr">
        <is>
          <t>Average loser (R)</t>
        </is>
      </c>
      <c r="O14" s="11">
        <f>IFERROR(AVERAGEIF(H5:H204,"&lt;0"),"")</f>
        <v/>
      </c>
    </row>
    <row r="15">
      <c r="A15" s="5" t="n"/>
      <c r="B15" s="6" t="n"/>
      <c r="C15" s="6" t="n"/>
      <c r="D15" s="6" t="n"/>
      <c r="E15" s="6" t="n"/>
      <c r="F15" s="6" t="n"/>
      <c r="G15" s="6" t="n"/>
      <c r="H15" s="7">
        <f>IF(OR(D15="",E15="",F15="",C15=""),"",IF(C15="short",(D15-F15)/ABS(D15-E15),(F15-D15)/ABS(D15-E15)))</f>
        <v/>
      </c>
      <c r="I15" s="8">
        <f>IF(H15="","",IF(H15&gt;0,"Win",IF(H15&lt;0,"Loss","Breakeven")))</f>
        <v/>
      </c>
      <c r="J15" s="6" t="n"/>
      <c r="K15" s="6" t="n"/>
    </row>
    <row r="16">
      <c r="A16" s="5" t="n"/>
      <c r="B16" s="6" t="n"/>
      <c r="C16" s="6" t="n"/>
      <c r="D16" s="6" t="n"/>
      <c r="E16" s="6" t="n"/>
      <c r="F16" s="6" t="n"/>
      <c r="G16" s="6" t="n"/>
      <c r="H16" s="7">
        <f>IF(OR(D16="",E16="",F16="",C16=""),"",IF(C16="short",(D16-F16)/ABS(D16-E16),(F16-D16)/ABS(D16-E16)))</f>
        <v/>
      </c>
      <c r="I16" s="8">
        <f>IF(H16="","",IF(H16&gt;0,"Win",IF(H16&lt;0,"Loss","Breakeven")))</f>
        <v/>
      </c>
      <c r="J16" s="6" t="n"/>
      <c r="K16" s="6" t="n"/>
      <c r="M16" s="9" t="inlineStr">
        <is>
          <t>Expectancy (R per trade)</t>
        </is>
      </c>
      <c r="O16" s="12">
        <f>IFERROR((COUNTIF(H5:H204,"&gt;0")/COUNT(H5:H204))*AVERAGEIF(H5:H204,"&gt;0")-(COUNTIF(H5:H204,"&lt;0")/COUNT(H5:H204))*ABS(AVERAGEIF(H5:H204,"&lt;0")),"")</f>
        <v/>
      </c>
    </row>
    <row r="17">
      <c r="A17" s="5" t="n"/>
      <c r="B17" s="6" t="n"/>
      <c r="C17" s="6" t="n"/>
      <c r="D17" s="6" t="n"/>
      <c r="E17" s="6" t="n"/>
      <c r="F17" s="6" t="n"/>
      <c r="G17" s="6" t="n"/>
      <c r="H17" s="7">
        <f>IF(OR(D17="",E17="",F17="",C17=""),"",IF(C17="short",(D17-F17)/ABS(D17-E17),(F17-D17)/ABS(D17-E17)))</f>
        <v/>
      </c>
      <c r="I17" s="8">
        <f>IF(H17="","",IF(H17&gt;0,"Win",IF(H17&lt;0,"Loss","Breakeven")))</f>
        <v/>
      </c>
      <c r="J17" s="6" t="n"/>
      <c r="K17" s="6" t="n"/>
    </row>
    <row r="18">
      <c r="A18" s="5" t="n"/>
      <c r="B18" s="6" t="n"/>
      <c r="C18" s="6" t="n"/>
      <c r="D18" s="6" t="n"/>
      <c r="E18" s="6" t="n"/>
      <c r="F18" s="6" t="n"/>
      <c r="G18" s="6" t="n"/>
      <c r="H18" s="7">
        <f>IF(OR(D18="",E18="",F18="",C18=""),"",IF(C18="short",(D18-F18)/ABS(D18-E18),(F18-D18)/ABS(D18-E18)))</f>
        <v/>
      </c>
      <c r="I18" s="8">
        <f>IF(H18="","",IF(H18&gt;0,"Win",IF(H18&lt;0,"Loss","Breakeven")))</f>
        <v/>
      </c>
      <c r="J18" s="6" t="n"/>
      <c r="K18" s="6" t="n"/>
    </row>
    <row r="19">
      <c r="A19" s="5" t="n"/>
      <c r="B19" s="6" t="n"/>
      <c r="C19" s="6" t="n"/>
      <c r="D19" s="6" t="n"/>
      <c r="E19" s="6" t="n"/>
      <c r="F19" s="6" t="n"/>
      <c r="G19" s="6" t="n"/>
      <c r="H19" s="7">
        <f>IF(OR(D19="",E19="",F19="",C19=""),"",IF(C19="short",(D19-F19)/ABS(D19-E19),(F19-D19)/ABS(D19-E19)))</f>
        <v/>
      </c>
      <c r="I19" s="8">
        <f>IF(H19="","",IF(H19&gt;0,"Win",IF(H19&lt;0,"Loss","Breakeven")))</f>
        <v/>
      </c>
      <c r="J19" s="6" t="n"/>
      <c r="K19" s="6" t="n"/>
    </row>
    <row r="20">
      <c r="A20" s="5" t="n"/>
      <c r="B20" s="6" t="n"/>
      <c r="C20" s="6" t="n"/>
      <c r="D20" s="6" t="n"/>
      <c r="E20" s="6" t="n"/>
      <c r="F20" s="6" t="n"/>
      <c r="G20" s="6" t="n"/>
      <c r="H20" s="7">
        <f>IF(OR(D20="",E20="",F20="",C20=""),"",IF(C20="short",(D20-F20)/ABS(D20-E20),(F20-D20)/ABS(D20-E20)))</f>
        <v/>
      </c>
      <c r="I20" s="8">
        <f>IF(H20="","",IF(H20&gt;0,"Win",IF(H20&lt;0,"Loss","Breakeven")))</f>
        <v/>
      </c>
      <c r="J20" s="6" t="n"/>
      <c r="K20" s="6" t="n"/>
    </row>
    <row r="21">
      <c r="A21" s="5" t="n"/>
      <c r="B21" s="6" t="n"/>
      <c r="C21" s="6" t="n"/>
      <c r="D21" s="6" t="n"/>
      <c r="E21" s="6" t="n"/>
      <c r="F21" s="6" t="n"/>
      <c r="G21" s="6" t="n"/>
      <c r="H21" s="7">
        <f>IF(OR(D21="",E21="",F21="",C21=""),"",IF(C21="short",(D21-F21)/ABS(D21-E21),(F21-D21)/ABS(D21-E21)))</f>
        <v/>
      </c>
      <c r="I21" s="8">
        <f>IF(H21="","",IF(H21&gt;0,"Win",IF(H21&lt;0,"Loss","Breakeven")))</f>
        <v/>
      </c>
      <c r="J21" s="6" t="n"/>
      <c r="K21" s="6" t="n"/>
    </row>
    <row r="22">
      <c r="A22" s="5" t="n"/>
      <c r="B22" s="6" t="n"/>
      <c r="C22" s="6" t="n"/>
      <c r="D22" s="6" t="n"/>
      <c r="E22" s="6" t="n"/>
      <c r="F22" s="6" t="n"/>
      <c r="G22" s="6" t="n"/>
      <c r="H22" s="7">
        <f>IF(OR(D22="",E22="",F22="",C22=""),"",IF(C22="short",(D22-F22)/ABS(D22-E22),(F22-D22)/ABS(D22-E22)))</f>
        <v/>
      </c>
      <c r="I22" s="8">
        <f>IF(H22="","",IF(H22&gt;0,"Win",IF(H22&lt;0,"Loss","Breakeven")))</f>
        <v/>
      </c>
      <c r="J22" s="6" t="n"/>
      <c r="K22" s="6" t="n"/>
    </row>
    <row r="23">
      <c r="A23" s="5" t="n"/>
      <c r="B23" s="6" t="n"/>
      <c r="C23" s="6" t="n"/>
      <c r="D23" s="6" t="n"/>
      <c r="E23" s="6" t="n"/>
      <c r="F23" s="6" t="n"/>
      <c r="G23" s="6" t="n"/>
      <c r="H23" s="7">
        <f>IF(OR(D23="",E23="",F23="",C23=""),"",IF(C23="short",(D23-F23)/ABS(D23-E23),(F23-D23)/ABS(D23-E23)))</f>
        <v/>
      </c>
      <c r="I23" s="8">
        <f>IF(H23="","",IF(H23&gt;0,"Win",IF(H23&lt;0,"Loss","Breakeven")))</f>
        <v/>
      </c>
      <c r="J23" s="6" t="n"/>
      <c r="K23" s="6" t="n"/>
    </row>
    <row r="24">
      <c r="A24" s="5" t="n"/>
      <c r="B24" s="6" t="n"/>
      <c r="C24" s="6" t="n"/>
      <c r="D24" s="6" t="n"/>
      <c r="E24" s="6" t="n"/>
      <c r="F24" s="6" t="n"/>
      <c r="G24" s="6" t="n"/>
      <c r="H24" s="7">
        <f>IF(OR(D24="",E24="",F24="",C24=""),"",IF(C24="short",(D24-F24)/ABS(D24-E24),(F24-D24)/ABS(D24-E24)))</f>
        <v/>
      </c>
      <c r="I24" s="8">
        <f>IF(H24="","",IF(H24&gt;0,"Win",IF(H24&lt;0,"Loss","Breakeven")))</f>
        <v/>
      </c>
      <c r="J24" s="6" t="n"/>
      <c r="K24" s="6" t="n"/>
    </row>
    <row r="25">
      <c r="A25" s="5" t="n"/>
      <c r="B25" s="6" t="n"/>
      <c r="C25" s="6" t="n"/>
      <c r="D25" s="6" t="n"/>
      <c r="E25" s="6" t="n"/>
      <c r="F25" s="6" t="n"/>
      <c r="G25" s="6" t="n"/>
      <c r="H25" s="7">
        <f>IF(OR(D25="",E25="",F25="",C25=""),"",IF(C25="short",(D25-F25)/ABS(D25-E25),(F25-D25)/ABS(D25-E25)))</f>
        <v/>
      </c>
      <c r="I25" s="8">
        <f>IF(H25="","",IF(H25&gt;0,"Win",IF(H25&lt;0,"Loss","Breakeven")))</f>
        <v/>
      </c>
      <c r="J25" s="6" t="n"/>
      <c r="K25" s="6" t="n"/>
    </row>
    <row r="26">
      <c r="A26" s="5" t="n"/>
      <c r="B26" s="6" t="n"/>
      <c r="C26" s="6" t="n"/>
      <c r="D26" s="6" t="n"/>
      <c r="E26" s="6" t="n"/>
      <c r="F26" s="6" t="n"/>
      <c r="G26" s="6" t="n"/>
      <c r="H26" s="7">
        <f>IF(OR(D26="",E26="",F26="",C26=""),"",IF(C26="short",(D26-F26)/ABS(D26-E26),(F26-D26)/ABS(D26-E26)))</f>
        <v/>
      </c>
      <c r="I26" s="8">
        <f>IF(H26="","",IF(H26&gt;0,"Win",IF(H26&lt;0,"Loss","Breakeven")))</f>
        <v/>
      </c>
      <c r="J26" s="6" t="n"/>
      <c r="K26" s="6" t="n"/>
    </row>
    <row r="27">
      <c r="A27" s="5" t="n"/>
      <c r="B27" s="6" t="n"/>
      <c r="C27" s="6" t="n"/>
      <c r="D27" s="6" t="n"/>
      <c r="E27" s="6" t="n"/>
      <c r="F27" s="6" t="n"/>
      <c r="G27" s="6" t="n"/>
      <c r="H27" s="7">
        <f>IF(OR(D27="",E27="",F27="",C27=""),"",IF(C27="short",(D27-F27)/ABS(D27-E27),(F27-D27)/ABS(D27-E27)))</f>
        <v/>
      </c>
      <c r="I27" s="8">
        <f>IF(H27="","",IF(H27&gt;0,"Win",IF(H27&lt;0,"Loss","Breakeven")))</f>
        <v/>
      </c>
      <c r="J27" s="6" t="n"/>
      <c r="K27" s="6" t="n"/>
    </row>
    <row r="28">
      <c r="A28" s="5" t="n"/>
      <c r="B28" s="6" t="n"/>
      <c r="C28" s="6" t="n"/>
      <c r="D28" s="6" t="n"/>
      <c r="E28" s="6" t="n"/>
      <c r="F28" s="6" t="n"/>
      <c r="G28" s="6" t="n"/>
      <c r="H28" s="7">
        <f>IF(OR(D28="",E28="",F28="",C28=""),"",IF(C28="short",(D28-F28)/ABS(D28-E28),(F28-D28)/ABS(D28-E28)))</f>
        <v/>
      </c>
      <c r="I28" s="8">
        <f>IF(H28="","",IF(H28&gt;0,"Win",IF(H28&lt;0,"Loss","Breakeven")))</f>
        <v/>
      </c>
      <c r="J28" s="6" t="n"/>
      <c r="K28" s="6" t="n"/>
    </row>
    <row r="29">
      <c r="A29" s="5" t="n"/>
      <c r="B29" s="6" t="n"/>
      <c r="C29" s="6" t="n"/>
      <c r="D29" s="6" t="n"/>
      <c r="E29" s="6" t="n"/>
      <c r="F29" s="6" t="n"/>
      <c r="G29" s="6" t="n"/>
      <c r="H29" s="7">
        <f>IF(OR(D29="",E29="",F29="",C29=""),"",IF(C29="short",(D29-F29)/ABS(D29-E29),(F29-D29)/ABS(D29-E29)))</f>
        <v/>
      </c>
      <c r="I29" s="8">
        <f>IF(H29="","",IF(H29&gt;0,"Win",IF(H29&lt;0,"Loss","Breakeven")))</f>
        <v/>
      </c>
      <c r="J29" s="6" t="n"/>
      <c r="K29" s="6" t="n"/>
    </row>
    <row r="30">
      <c r="A30" s="5" t="n"/>
      <c r="B30" s="6" t="n"/>
      <c r="C30" s="6" t="n"/>
      <c r="D30" s="6" t="n"/>
      <c r="E30" s="6" t="n"/>
      <c r="F30" s="6" t="n"/>
      <c r="G30" s="6" t="n"/>
      <c r="H30" s="7">
        <f>IF(OR(D30="",E30="",F30="",C30=""),"",IF(C30="short",(D30-F30)/ABS(D30-E30),(F30-D30)/ABS(D30-E30)))</f>
        <v/>
      </c>
      <c r="I30" s="8">
        <f>IF(H30="","",IF(H30&gt;0,"Win",IF(H30&lt;0,"Loss","Breakeven")))</f>
        <v/>
      </c>
      <c r="J30" s="6" t="n"/>
      <c r="K30" s="6" t="n"/>
    </row>
    <row r="31">
      <c r="A31" s="5" t="n"/>
      <c r="B31" s="6" t="n"/>
      <c r="C31" s="6" t="n"/>
      <c r="D31" s="6" t="n"/>
      <c r="E31" s="6" t="n"/>
      <c r="F31" s="6" t="n"/>
      <c r="G31" s="6" t="n"/>
      <c r="H31" s="7">
        <f>IF(OR(D31="",E31="",F31="",C31=""),"",IF(C31="short",(D31-F31)/ABS(D31-E31),(F31-D31)/ABS(D31-E31)))</f>
        <v/>
      </c>
      <c r="I31" s="8">
        <f>IF(H31="","",IF(H31&gt;0,"Win",IF(H31&lt;0,"Loss","Breakeven")))</f>
        <v/>
      </c>
      <c r="J31" s="6" t="n"/>
      <c r="K31" s="6" t="n"/>
    </row>
    <row r="32">
      <c r="A32" s="5" t="n"/>
      <c r="B32" s="6" t="n"/>
      <c r="C32" s="6" t="n"/>
      <c r="D32" s="6" t="n"/>
      <c r="E32" s="6" t="n"/>
      <c r="F32" s="6" t="n"/>
      <c r="G32" s="6" t="n"/>
      <c r="H32" s="7">
        <f>IF(OR(D32="",E32="",F32="",C32=""),"",IF(C32="short",(D32-F32)/ABS(D32-E32),(F32-D32)/ABS(D32-E32)))</f>
        <v/>
      </c>
      <c r="I32" s="8">
        <f>IF(H32="","",IF(H32&gt;0,"Win",IF(H32&lt;0,"Loss","Breakeven")))</f>
        <v/>
      </c>
      <c r="J32" s="6" t="n"/>
      <c r="K32" s="6" t="n"/>
    </row>
    <row r="33">
      <c r="A33" s="5" t="n"/>
      <c r="B33" s="6" t="n"/>
      <c r="C33" s="6" t="n"/>
      <c r="D33" s="6" t="n"/>
      <c r="E33" s="6" t="n"/>
      <c r="F33" s="6" t="n"/>
      <c r="G33" s="6" t="n"/>
      <c r="H33" s="7">
        <f>IF(OR(D33="",E33="",F33="",C33=""),"",IF(C33="short",(D33-F33)/ABS(D33-E33),(F33-D33)/ABS(D33-E33)))</f>
        <v/>
      </c>
      <c r="I33" s="8">
        <f>IF(H33="","",IF(H33&gt;0,"Win",IF(H33&lt;0,"Loss","Breakeven")))</f>
        <v/>
      </c>
      <c r="J33" s="6" t="n"/>
      <c r="K33" s="6" t="n"/>
    </row>
    <row r="34">
      <c r="A34" s="5" t="n"/>
      <c r="B34" s="6" t="n"/>
      <c r="C34" s="6" t="n"/>
      <c r="D34" s="6" t="n"/>
      <c r="E34" s="6" t="n"/>
      <c r="F34" s="6" t="n"/>
      <c r="G34" s="6" t="n"/>
      <c r="H34" s="7">
        <f>IF(OR(D34="",E34="",F34="",C34=""),"",IF(C34="short",(D34-F34)/ABS(D34-E34),(F34-D34)/ABS(D34-E34)))</f>
        <v/>
      </c>
      <c r="I34" s="8">
        <f>IF(H34="","",IF(H34&gt;0,"Win",IF(H34&lt;0,"Loss","Breakeven")))</f>
        <v/>
      </c>
      <c r="J34" s="6" t="n"/>
      <c r="K34" s="6" t="n"/>
    </row>
    <row r="35">
      <c r="A35" s="5" t="n"/>
      <c r="B35" s="6" t="n"/>
      <c r="C35" s="6" t="n"/>
      <c r="D35" s="6" t="n"/>
      <c r="E35" s="6" t="n"/>
      <c r="F35" s="6" t="n"/>
      <c r="G35" s="6" t="n"/>
      <c r="H35" s="7">
        <f>IF(OR(D35="",E35="",F35="",C35=""),"",IF(C35="short",(D35-F35)/ABS(D35-E35),(F35-D35)/ABS(D35-E35)))</f>
        <v/>
      </c>
      <c r="I35" s="8">
        <f>IF(H35="","",IF(H35&gt;0,"Win",IF(H35&lt;0,"Loss","Breakeven")))</f>
        <v/>
      </c>
      <c r="J35" s="6" t="n"/>
      <c r="K35" s="6" t="n"/>
    </row>
    <row r="36">
      <c r="A36" s="5" t="n"/>
      <c r="B36" s="6" t="n"/>
      <c r="C36" s="6" t="n"/>
      <c r="D36" s="6" t="n"/>
      <c r="E36" s="6" t="n"/>
      <c r="F36" s="6" t="n"/>
      <c r="G36" s="6" t="n"/>
      <c r="H36" s="7">
        <f>IF(OR(D36="",E36="",F36="",C36=""),"",IF(C36="short",(D36-F36)/ABS(D36-E36),(F36-D36)/ABS(D36-E36)))</f>
        <v/>
      </c>
      <c r="I36" s="8">
        <f>IF(H36="","",IF(H36&gt;0,"Win",IF(H36&lt;0,"Loss","Breakeven")))</f>
        <v/>
      </c>
      <c r="J36" s="6" t="n"/>
      <c r="K36" s="6" t="n"/>
    </row>
    <row r="37">
      <c r="A37" s="5" t="n"/>
      <c r="B37" s="6" t="n"/>
      <c r="C37" s="6" t="n"/>
      <c r="D37" s="6" t="n"/>
      <c r="E37" s="6" t="n"/>
      <c r="F37" s="6" t="n"/>
      <c r="G37" s="6" t="n"/>
      <c r="H37" s="7">
        <f>IF(OR(D37="",E37="",F37="",C37=""),"",IF(C37="short",(D37-F37)/ABS(D37-E37),(F37-D37)/ABS(D37-E37)))</f>
        <v/>
      </c>
      <c r="I37" s="8">
        <f>IF(H37="","",IF(H37&gt;0,"Win",IF(H37&lt;0,"Loss","Breakeven")))</f>
        <v/>
      </c>
      <c r="J37" s="6" t="n"/>
      <c r="K37" s="6" t="n"/>
    </row>
    <row r="38">
      <c r="A38" s="5" t="n"/>
      <c r="B38" s="6" t="n"/>
      <c r="C38" s="6" t="n"/>
      <c r="D38" s="6" t="n"/>
      <c r="E38" s="6" t="n"/>
      <c r="F38" s="6" t="n"/>
      <c r="G38" s="6" t="n"/>
      <c r="H38" s="7">
        <f>IF(OR(D38="",E38="",F38="",C38=""),"",IF(C38="short",(D38-F38)/ABS(D38-E38),(F38-D38)/ABS(D38-E38)))</f>
        <v/>
      </c>
      <c r="I38" s="8">
        <f>IF(H38="","",IF(H38&gt;0,"Win",IF(H38&lt;0,"Loss","Breakeven")))</f>
        <v/>
      </c>
      <c r="J38" s="6" t="n"/>
      <c r="K38" s="6" t="n"/>
    </row>
    <row r="39">
      <c r="A39" s="5" t="n"/>
      <c r="B39" s="6" t="n"/>
      <c r="C39" s="6" t="n"/>
      <c r="D39" s="6" t="n"/>
      <c r="E39" s="6" t="n"/>
      <c r="F39" s="6" t="n"/>
      <c r="G39" s="6" t="n"/>
      <c r="H39" s="7">
        <f>IF(OR(D39="",E39="",F39="",C39=""),"",IF(C39="short",(D39-F39)/ABS(D39-E39),(F39-D39)/ABS(D39-E39)))</f>
        <v/>
      </c>
      <c r="I39" s="8">
        <f>IF(H39="","",IF(H39&gt;0,"Win",IF(H39&lt;0,"Loss","Breakeven")))</f>
        <v/>
      </c>
      <c r="J39" s="6" t="n"/>
      <c r="K39" s="6" t="n"/>
    </row>
    <row r="40">
      <c r="A40" s="5" t="n"/>
      <c r="B40" s="6" t="n"/>
      <c r="C40" s="6" t="n"/>
      <c r="D40" s="6" t="n"/>
      <c r="E40" s="6" t="n"/>
      <c r="F40" s="6" t="n"/>
      <c r="G40" s="6" t="n"/>
      <c r="H40" s="7">
        <f>IF(OR(D40="",E40="",F40="",C40=""),"",IF(C40="short",(D40-F40)/ABS(D40-E40),(F40-D40)/ABS(D40-E40)))</f>
        <v/>
      </c>
      <c r="I40" s="8">
        <f>IF(H40="","",IF(H40&gt;0,"Win",IF(H40&lt;0,"Loss","Breakeven")))</f>
        <v/>
      </c>
      <c r="J40" s="6" t="n"/>
      <c r="K40" s="6" t="n"/>
    </row>
    <row r="41">
      <c r="A41" s="5" t="n"/>
      <c r="B41" s="6" t="n"/>
      <c r="C41" s="6" t="n"/>
      <c r="D41" s="6" t="n"/>
      <c r="E41" s="6" t="n"/>
      <c r="F41" s="6" t="n"/>
      <c r="G41" s="6" t="n"/>
      <c r="H41" s="7">
        <f>IF(OR(D41="",E41="",F41="",C41=""),"",IF(C41="short",(D41-F41)/ABS(D41-E41),(F41-D41)/ABS(D41-E41)))</f>
        <v/>
      </c>
      <c r="I41" s="8">
        <f>IF(H41="","",IF(H41&gt;0,"Win",IF(H41&lt;0,"Loss","Breakeven")))</f>
        <v/>
      </c>
      <c r="J41" s="6" t="n"/>
      <c r="K41" s="6" t="n"/>
    </row>
    <row r="42">
      <c r="A42" s="5" t="n"/>
      <c r="B42" s="6" t="n"/>
      <c r="C42" s="6" t="n"/>
      <c r="D42" s="6" t="n"/>
      <c r="E42" s="6" t="n"/>
      <c r="F42" s="6" t="n"/>
      <c r="G42" s="6" t="n"/>
      <c r="H42" s="7">
        <f>IF(OR(D42="",E42="",F42="",C42=""),"",IF(C42="short",(D42-F42)/ABS(D42-E42),(F42-D42)/ABS(D42-E42)))</f>
        <v/>
      </c>
      <c r="I42" s="8">
        <f>IF(H42="","",IF(H42&gt;0,"Win",IF(H42&lt;0,"Loss","Breakeven")))</f>
        <v/>
      </c>
      <c r="J42" s="6" t="n"/>
      <c r="K42" s="6" t="n"/>
    </row>
    <row r="43">
      <c r="A43" s="5" t="n"/>
      <c r="B43" s="6" t="n"/>
      <c r="C43" s="6" t="n"/>
      <c r="D43" s="6" t="n"/>
      <c r="E43" s="6" t="n"/>
      <c r="F43" s="6" t="n"/>
      <c r="G43" s="6" t="n"/>
      <c r="H43" s="7">
        <f>IF(OR(D43="",E43="",F43="",C43=""),"",IF(C43="short",(D43-F43)/ABS(D43-E43),(F43-D43)/ABS(D43-E43)))</f>
        <v/>
      </c>
      <c r="I43" s="8">
        <f>IF(H43="","",IF(H43&gt;0,"Win",IF(H43&lt;0,"Loss","Breakeven")))</f>
        <v/>
      </c>
      <c r="J43" s="6" t="n"/>
      <c r="K43" s="6" t="n"/>
    </row>
    <row r="44">
      <c r="A44" s="5" t="n"/>
      <c r="B44" s="6" t="n"/>
      <c r="C44" s="6" t="n"/>
      <c r="D44" s="6" t="n"/>
      <c r="E44" s="6" t="n"/>
      <c r="F44" s="6" t="n"/>
      <c r="G44" s="6" t="n"/>
      <c r="H44" s="7">
        <f>IF(OR(D44="",E44="",F44="",C44=""),"",IF(C44="short",(D44-F44)/ABS(D44-E44),(F44-D44)/ABS(D44-E44)))</f>
        <v/>
      </c>
      <c r="I44" s="8">
        <f>IF(H44="","",IF(H44&gt;0,"Win",IF(H44&lt;0,"Loss","Breakeven")))</f>
        <v/>
      </c>
      <c r="J44" s="6" t="n"/>
      <c r="K44" s="6" t="n"/>
    </row>
    <row r="45">
      <c r="A45" s="5" t="n"/>
      <c r="B45" s="6" t="n"/>
      <c r="C45" s="6" t="n"/>
      <c r="D45" s="6" t="n"/>
      <c r="E45" s="6" t="n"/>
      <c r="F45" s="6" t="n"/>
      <c r="G45" s="6" t="n"/>
      <c r="H45" s="7">
        <f>IF(OR(D45="",E45="",F45="",C45=""),"",IF(C45="short",(D45-F45)/ABS(D45-E45),(F45-D45)/ABS(D45-E45)))</f>
        <v/>
      </c>
      <c r="I45" s="8">
        <f>IF(H45="","",IF(H45&gt;0,"Win",IF(H45&lt;0,"Loss","Breakeven")))</f>
        <v/>
      </c>
      <c r="J45" s="6" t="n"/>
      <c r="K45" s="6" t="n"/>
    </row>
    <row r="46">
      <c r="A46" s="5" t="n"/>
      <c r="B46" s="6" t="n"/>
      <c r="C46" s="6" t="n"/>
      <c r="D46" s="6" t="n"/>
      <c r="E46" s="6" t="n"/>
      <c r="F46" s="6" t="n"/>
      <c r="G46" s="6" t="n"/>
      <c r="H46" s="7">
        <f>IF(OR(D46="",E46="",F46="",C46=""),"",IF(C46="short",(D46-F46)/ABS(D46-E46),(F46-D46)/ABS(D46-E46)))</f>
        <v/>
      </c>
      <c r="I46" s="8">
        <f>IF(H46="","",IF(H46&gt;0,"Win",IF(H46&lt;0,"Loss","Breakeven")))</f>
        <v/>
      </c>
      <c r="J46" s="6" t="n"/>
      <c r="K46" s="6" t="n"/>
    </row>
    <row r="47">
      <c r="A47" s="5" t="n"/>
      <c r="B47" s="6" t="n"/>
      <c r="C47" s="6" t="n"/>
      <c r="D47" s="6" t="n"/>
      <c r="E47" s="6" t="n"/>
      <c r="F47" s="6" t="n"/>
      <c r="G47" s="6" t="n"/>
      <c r="H47" s="7">
        <f>IF(OR(D47="",E47="",F47="",C47=""),"",IF(C47="short",(D47-F47)/ABS(D47-E47),(F47-D47)/ABS(D47-E47)))</f>
        <v/>
      </c>
      <c r="I47" s="8">
        <f>IF(H47="","",IF(H47&gt;0,"Win",IF(H47&lt;0,"Loss","Breakeven")))</f>
        <v/>
      </c>
      <c r="J47" s="6" t="n"/>
      <c r="K47" s="6" t="n"/>
    </row>
    <row r="48">
      <c r="A48" s="5" t="n"/>
      <c r="B48" s="6" t="n"/>
      <c r="C48" s="6" t="n"/>
      <c r="D48" s="6" t="n"/>
      <c r="E48" s="6" t="n"/>
      <c r="F48" s="6" t="n"/>
      <c r="G48" s="6" t="n"/>
      <c r="H48" s="7">
        <f>IF(OR(D48="",E48="",F48="",C48=""),"",IF(C48="short",(D48-F48)/ABS(D48-E48),(F48-D48)/ABS(D48-E48)))</f>
        <v/>
      </c>
      <c r="I48" s="8">
        <f>IF(H48="","",IF(H48&gt;0,"Win",IF(H48&lt;0,"Loss","Breakeven")))</f>
        <v/>
      </c>
      <c r="J48" s="6" t="n"/>
      <c r="K48" s="6" t="n"/>
    </row>
    <row r="49">
      <c r="A49" s="5" t="n"/>
      <c r="B49" s="6" t="n"/>
      <c r="C49" s="6" t="n"/>
      <c r="D49" s="6" t="n"/>
      <c r="E49" s="6" t="n"/>
      <c r="F49" s="6" t="n"/>
      <c r="G49" s="6" t="n"/>
      <c r="H49" s="7">
        <f>IF(OR(D49="",E49="",F49="",C49=""),"",IF(C49="short",(D49-F49)/ABS(D49-E49),(F49-D49)/ABS(D49-E49)))</f>
        <v/>
      </c>
      <c r="I49" s="8">
        <f>IF(H49="","",IF(H49&gt;0,"Win",IF(H49&lt;0,"Loss","Breakeven")))</f>
        <v/>
      </c>
      <c r="J49" s="6" t="n"/>
      <c r="K49" s="6" t="n"/>
    </row>
    <row r="50">
      <c r="A50" s="5" t="n"/>
      <c r="B50" s="6" t="n"/>
      <c r="C50" s="6" t="n"/>
      <c r="D50" s="6" t="n"/>
      <c r="E50" s="6" t="n"/>
      <c r="F50" s="6" t="n"/>
      <c r="G50" s="6" t="n"/>
      <c r="H50" s="7">
        <f>IF(OR(D50="",E50="",F50="",C50=""),"",IF(C50="short",(D50-F50)/ABS(D50-E50),(F50-D50)/ABS(D50-E50)))</f>
        <v/>
      </c>
      <c r="I50" s="8">
        <f>IF(H50="","",IF(H50&gt;0,"Win",IF(H50&lt;0,"Loss","Breakeven")))</f>
        <v/>
      </c>
      <c r="J50" s="6" t="n"/>
      <c r="K50" s="6" t="n"/>
    </row>
    <row r="51">
      <c r="A51" s="5" t="n"/>
      <c r="B51" s="6" t="n"/>
      <c r="C51" s="6" t="n"/>
      <c r="D51" s="6" t="n"/>
      <c r="E51" s="6" t="n"/>
      <c r="F51" s="6" t="n"/>
      <c r="G51" s="6" t="n"/>
      <c r="H51" s="7">
        <f>IF(OR(D51="",E51="",F51="",C51=""),"",IF(C51="short",(D51-F51)/ABS(D51-E51),(F51-D51)/ABS(D51-E51)))</f>
        <v/>
      </c>
      <c r="I51" s="8">
        <f>IF(H51="","",IF(H51&gt;0,"Win",IF(H51&lt;0,"Loss","Breakeven")))</f>
        <v/>
      </c>
      <c r="J51" s="6" t="n"/>
      <c r="K51" s="6" t="n"/>
    </row>
    <row r="52">
      <c r="A52" s="5" t="n"/>
      <c r="B52" s="6" t="n"/>
      <c r="C52" s="6" t="n"/>
      <c r="D52" s="6" t="n"/>
      <c r="E52" s="6" t="n"/>
      <c r="F52" s="6" t="n"/>
      <c r="G52" s="6" t="n"/>
      <c r="H52" s="7">
        <f>IF(OR(D52="",E52="",F52="",C52=""),"",IF(C52="short",(D52-F52)/ABS(D52-E52),(F52-D52)/ABS(D52-E52)))</f>
        <v/>
      </c>
      <c r="I52" s="8">
        <f>IF(H52="","",IF(H52&gt;0,"Win",IF(H52&lt;0,"Loss","Breakeven")))</f>
        <v/>
      </c>
      <c r="J52" s="6" t="n"/>
      <c r="K52" s="6" t="n"/>
    </row>
    <row r="53">
      <c r="A53" s="5" t="n"/>
      <c r="B53" s="6" t="n"/>
      <c r="C53" s="6" t="n"/>
      <c r="D53" s="6" t="n"/>
      <c r="E53" s="6" t="n"/>
      <c r="F53" s="6" t="n"/>
      <c r="G53" s="6" t="n"/>
      <c r="H53" s="7">
        <f>IF(OR(D53="",E53="",F53="",C53=""),"",IF(C53="short",(D53-F53)/ABS(D53-E53),(F53-D53)/ABS(D53-E53)))</f>
        <v/>
      </c>
      <c r="I53" s="8">
        <f>IF(H53="","",IF(H53&gt;0,"Win",IF(H53&lt;0,"Loss","Breakeven")))</f>
        <v/>
      </c>
      <c r="J53" s="6" t="n"/>
      <c r="K53" s="6" t="n"/>
    </row>
    <row r="54">
      <c r="A54" s="5" t="n"/>
      <c r="B54" s="6" t="n"/>
      <c r="C54" s="6" t="n"/>
      <c r="D54" s="6" t="n"/>
      <c r="E54" s="6" t="n"/>
      <c r="F54" s="6" t="n"/>
      <c r="G54" s="6" t="n"/>
      <c r="H54" s="7">
        <f>IF(OR(D54="",E54="",F54="",C54=""),"",IF(C54="short",(D54-F54)/ABS(D54-E54),(F54-D54)/ABS(D54-E54)))</f>
        <v/>
      </c>
      <c r="I54" s="8">
        <f>IF(H54="","",IF(H54&gt;0,"Win",IF(H54&lt;0,"Loss","Breakeven")))</f>
        <v/>
      </c>
      <c r="J54" s="6" t="n"/>
      <c r="K54" s="6" t="n"/>
    </row>
    <row r="55">
      <c r="A55" s="5" t="n"/>
      <c r="B55" s="6" t="n"/>
      <c r="C55" s="6" t="n"/>
      <c r="D55" s="6" t="n"/>
      <c r="E55" s="6" t="n"/>
      <c r="F55" s="6" t="n"/>
      <c r="G55" s="6" t="n"/>
      <c r="H55" s="7">
        <f>IF(OR(D55="",E55="",F55="",C55=""),"",IF(C55="short",(D55-F55)/ABS(D55-E55),(F55-D55)/ABS(D55-E55)))</f>
        <v/>
      </c>
      <c r="I55" s="8">
        <f>IF(H55="","",IF(H55&gt;0,"Win",IF(H55&lt;0,"Loss","Breakeven")))</f>
        <v/>
      </c>
      <c r="J55" s="6" t="n"/>
      <c r="K55" s="6" t="n"/>
    </row>
    <row r="56">
      <c r="A56" s="5" t="n"/>
      <c r="B56" s="6" t="n"/>
      <c r="C56" s="6" t="n"/>
      <c r="D56" s="6" t="n"/>
      <c r="E56" s="6" t="n"/>
      <c r="F56" s="6" t="n"/>
      <c r="G56" s="6" t="n"/>
      <c r="H56" s="7">
        <f>IF(OR(D56="",E56="",F56="",C56=""),"",IF(C56="short",(D56-F56)/ABS(D56-E56),(F56-D56)/ABS(D56-E56)))</f>
        <v/>
      </c>
      <c r="I56" s="8">
        <f>IF(H56="","",IF(H56&gt;0,"Win",IF(H56&lt;0,"Loss","Breakeven")))</f>
        <v/>
      </c>
      <c r="J56" s="6" t="n"/>
      <c r="K56" s="6" t="n"/>
    </row>
    <row r="57">
      <c r="A57" s="5" t="n"/>
      <c r="B57" s="6" t="n"/>
      <c r="C57" s="6" t="n"/>
      <c r="D57" s="6" t="n"/>
      <c r="E57" s="6" t="n"/>
      <c r="F57" s="6" t="n"/>
      <c r="G57" s="6" t="n"/>
      <c r="H57" s="7">
        <f>IF(OR(D57="",E57="",F57="",C57=""),"",IF(C57="short",(D57-F57)/ABS(D57-E57),(F57-D57)/ABS(D57-E57)))</f>
        <v/>
      </c>
      <c r="I57" s="8">
        <f>IF(H57="","",IF(H57&gt;0,"Win",IF(H57&lt;0,"Loss","Breakeven")))</f>
        <v/>
      </c>
      <c r="J57" s="6" t="n"/>
      <c r="K57" s="6" t="n"/>
    </row>
    <row r="58">
      <c r="A58" s="5" t="n"/>
      <c r="B58" s="6" t="n"/>
      <c r="C58" s="6" t="n"/>
      <c r="D58" s="6" t="n"/>
      <c r="E58" s="6" t="n"/>
      <c r="F58" s="6" t="n"/>
      <c r="G58" s="6" t="n"/>
      <c r="H58" s="7">
        <f>IF(OR(D58="",E58="",F58="",C58=""),"",IF(C58="short",(D58-F58)/ABS(D58-E58),(F58-D58)/ABS(D58-E58)))</f>
        <v/>
      </c>
      <c r="I58" s="8">
        <f>IF(H58="","",IF(H58&gt;0,"Win",IF(H58&lt;0,"Loss","Breakeven")))</f>
        <v/>
      </c>
      <c r="J58" s="6" t="n"/>
      <c r="K58" s="6" t="n"/>
    </row>
    <row r="59">
      <c r="A59" s="5" t="n"/>
      <c r="B59" s="6" t="n"/>
      <c r="C59" s="6" t="n"/>
      <c r="D59" s="6" t="n"/>
      <c r="E59" s="6" t="n"/>
      <c r="F59" s="6" t="n"/>
      <c r="G59" s="6" t="n"/>
      <c r="H59" s="7">
        <f>IF(OR(D59="",E59="",F59="",C59=""),"",IF(C59="short",(D59-F59)/ABS(D59-E59),(F59-D59)/ABS(D59-E59)))</f>
        <v/>
      </c>
      <c r="I59" s="8">
        <f>IF(H59="","",IF(H59&gt;0,"Win",IF(H59&lt;0,"Loss","Breakeven")))</f>
        <v/>
      </c>
      <c r="J59" s="6" t="n"/>
      <c r="K59" s="6" t="n"/>
    </row>
    <row r="60">
      <c r="A60" s="5" t="n"/>
      <c r="B60" s="6" t="n"/>
      <c r="C60" s="6" t="n"/>
      <c r="D60" s="6" t="n"/>
      <c r="E60" s="6" t="n"/>
      <c r="F60" s="6" t="n"/>
      <c r="G60" s="6" t="n"/>
      <c r="H60" s="7">
        <f>IF(OR(D60="",E60="",F60="",C60=""),"",IF(C60="short",(D60-F60)/ABS(D60-E60),(F60-D60)/ABS(D60-E60)))</f>
        <v/>
      </c>
      <c r="I60" s="8">
        <f>IF(H60="","",IF(H60&gt;0,"Win",IF(H60&lt;0,"Loss","Breakeven")))</f>
        <v/>
      </c>
      <c r="J60" s="6" t="n"/>
      <c r="K60" s="6" t="n"/>
    </row>
    <row r="61">
      <c r="A61" s="5" t="n"/>
      <c r="B61" s="6" t="n"/>
      <c r="C61" s="6" t="n"/>
      <c r="D61" s="6" t="n"/>
      <c r="E61" s="6" t="n"/>
      <c r="F61" s="6" t="n"/>
      <c r="G61" s="6" t="n"/>
      <c r="H61" s="7">
        <f>IF(OR(D61="",E61="",F61="",C61=""),"",IF(C61="short",(D61-F61)/ABS(D61-E61),(F61-D61)/ABS(D61-E61)))</f>
        <v/>
      </c>
      <c r="I61" s="8">
        <f>IF(H61="","",IF(H61&gt;0,"Win",IF(H61&lt;0,"Loss","Breakeven")))</f>
        <v/>
      </c>
      <c r="J61" s="6" t="n"/>
      <c r="K61" s="6" t="n"/>
    </row>
    <row r="62">
      <c r="A62" s="5" t="n"/>
      <c r="B62" s="6" t="n"/>
      <c r="C62" s="6" t="n"/>
      <c r="D62" s="6" t="n"/>
      <c r="E62" s="6" t="n"/>
      <c r="F62" s="6" t="n"/>
      <c r="G62" s="6" t="n"/>
      <c r="H62" s="7">
        <f>IF(OR(D62="",E62="",F62="",C62=""),"",IF(C62="short",(D62-F62)/ABS(D62-E62),(F62-D62)/ABS(D62-E62)))</f>
        <v/>
      </c>
      <c r="I62" s="8">
        <f>IF(H62="","",IF(H62&gt;0,"Win",IF(H62&lt;0,"Loss","Breakeven")))</f>
        <v/>
      </c>
      <c r="J62" s="6" t="n"/>
      <c r="K62" s="6" t="n"/>
    </row>
    <row r="63">
      <c r="A63" s="5" t="n"/>
      <c r="B63" s="6" t="n"/>
      <c r="C63" s="6" t="n"/>
      <c r="D63" s="6" t="n"/>
      <c r="E63" s="6" t="n"/>
      <c r="F63" s="6" t="n"/>
      <c r="G63" s="6" t="n"/>
      <c r="H63" s="7">
        <f>IF(OR(D63="",E63="",F63="",C63=""),"",IF(C63="short",(D63-F63)/ABS(D63-E63),(F63-D63)/ABS(D63-E63)))</f>
        <v/>
      </c>
      <c r="I63" s="8">
        <f>IF(H63="","",IF(H63&gt;0,"Win",IF(H63&lt;0,"Loss","Breakeven")))</f>
        <v/>
      </c>
      <c r="J63" s="6" t="n"/>
      <c r="K63" s="6" t="n"/>
    </row>
    <row r="64">
      <c r="A64" s="5" t="n"/>
      <c r="B64" s="6" t="n"/>
      <c r="C64" s="6" t="n"/>
      <c r="D64" s="6" t="n"/>
      <c r="E64" s="6" t="n"/>
      <c r="F64" s="6" t="n"/>
      <c r="G64" s="6" t="n"/>
      <c r="H64" s="7">
        <f>IF(OR(D64="",E64="",F64="",C64=""),"",IF(C64="short",(D64-F64)/ABS(D64-E64),(F64-D64)/ABS(D64-E64)))</f>
        <v/>
      </c>
      <c r="I64" s="8">
        <f>IF(H64="","",IF(H64&gt;0,"Win",IF(H64&lt;0,"Loss","Breakeven")))</f>
        <v/>
      </c>
      <c r="J64" s="6" t="n"/>
      <c r="K64" s="6" t="n"/>
    </row>
    <row r="65">
      <c r="A65" s="5" t="n"/>
      <c r="B65" s="6" t="n"/>
      <c r="C65" s="6" t="n"/>
      <c r="D65" s="6" t="n"/>
      <c r="E65" s="6" t="n"/>
      <c r="F65" s="6" t="n"/>
      <c r="G65" s="6" t="n"/>
      <c r="H65" s="7">
        <f>IF(OR(D65="",E65="",F65="",C65=""),"",IF(C65="short",(D65-F65)/ABS(D65-E65),(F65-D65)/ABS(D65-E65)))</f>
        <v/>
      </c>
      <c r="I65" s="8">
        <f>IF(H65="","",IF(H65&gt;0,"Win",IF(H65&lt;0,"Loss","Breakeven")))</f>
        <v/>
      </c>
      <c r="J65" s="6" t="n"/>
      <c r="K65" s="6" t="n"/>
    </row>
    <row r="66">
      <c r="A66" s="5" t="n"/>
      <c r="B66" s="6" t="n"/>
      <c r="C66" s="6" t="n"/>
      <c r="D66" s="6" t="n"/>
      <c r="E66" s="6" t="n"/>
      <c r="F66" s="6" t="n"/>
      <c r="G66" s="6" t="n"/>
      <c r="H66" s="7">
        <f>IF(OR(D66="",E66="",F66="",C66=""),"",IF(C66="short",(D66-F66)/ABS(D66-E66),(F66-D66)/ABS(D66-E66)))</f>
        <v/>
      </c>
      <c r="I66" s="8">
        <f>IF(H66="","",IF(H66&gt;0,"Win",IF(H66&lt;0,"Loss","Breakeven")))</f>
        <v/>
      </c>
      <c r="J66" s="6" t="n"/>
      <c r="K66" s="6" t="n"/>
    </row>
    <row r="67">
      <c r="A67" s="5" t="n"/>
      <c r="B67" s="6" t="n"/>
      <c r="C67" s="6" t="n"/>
      <c r="D67" s="6" t="n"/>
      <c r="E67" s="6" t="n"/>
      <c r="F67" s="6" t="n"/>
      <c r="G67" s="6" t="n"/>
      <c r="H67" s="7">
        <f>IF(OR(D67="",E67="",F67="",C67=""),"",IF(C67="short",(D67-F67)/ABS(D67-E67),(F67-D67)/ABS(D67-E67)))</f>
        <v/>
      </c>
      <c r="I67" s="8">
        <f>IF(H67="","",IF(H67&gt;0,"Win",IF(H67&lt;0,"Loss","Breakeven")))</f>
        <v/>
      </c>
      <c r="J67" s="6" t="n"/>
      <c r="K67" s="6" t="n"/>
    </row>
    <row r="68">
      <c r="A68" s="5" t="n"/>
      <c r="B68" s="6" t="n"/>
      <c r="C68" s="6" t="n"/>
      <c r="D68" s="6" t="n"/>
      <c r="E68" s="6" t="n"/>
      <c r="F68" s="6" t="n"/>
      <c r="G68" s="6" t="n"/>
      <c r="H68" s="7">
        <f>IF(OR(D68="",E68="",F68="",C68=""),"",IF(C68="short",(D68-F68)/ABS(D68-E68),(F68-D68)/ABS(D68-E68)))</f>
        <v/>
      </c>
      <c r="I68" s="8">
        <f>IF(H68="","",IF(H68&gt;0,"Win",IF(H68&lt;0,"Loss","Breakeven")))</f>
        <v/>
      </c>
      <c r="J68" s="6" t="n"/>
      <c r="K68" s="6" t="n"/>
    </row>
    <row r="69">
      <c r="A69" s="5" t="n"/>
      <c r="B69" s="6" t="n"/>
      <c r="C69" s="6" t="n"/>
      <c r="D69" s="6" t="n"/>
      <c r="E69" s="6" t="n"/>
      <c r="F69" s="6" t="n"/>
      <c r="G69" s="6" t="n"/>
      <c r="H69" s="7">
        <f>IF(OR(D69="",E69="",F69="",C69=""),"",IF(C69="short",(D69-F69)/ABS(D69-E69),(F69-D69)/ABS(D69-E69)))</f>
        <v/>
      </c>
      <c r="I69" s="8">
        <f>IF(H69="","",IF(H69&gt;0,"Win",IF(H69&lt;0,"Loss","Breakeven")))</f>
        <v/>
      </c>
      <c r="J69" s="6" t="n"/>
      <c r="K69" s="6" t="n"/>
    </row>
    <row r="70">
      <c r="A70" s="5" t="n"/>
      <c r="B70" s="6" t="n"/>
      <c r="C70" s="6" t="n"/>
      <c r="D70" s="6" t="n"/>
      <c r="E70" s="6" t="n"/>
      <c r="F70" s="6" t="n"/>
      <c r="G70" s="6" t="n"/>
      <c r="H70" s="7">
        <f>IF(OR(D70="",E70="",F70="",C70=""),"",IF(C70="short",(D70-F70)/ABS(D70-E70),(F70-D70)/ABS(D70-E70)))</f>
        <v/>
      </c>
      <c r="I70" s="8">
        <f>IF(H70="","",IF(H70&gt;0,"Win",IF(H70&lt;0,"Loss","Breakeven")))</f>
        <v/>
      </c>
      <c r="J70" s="6" t="n"/>
      <c r="K70" s="6" t="n"/>
    </row>
    <row r="71">
      <c r="A71" s="5" t="n"/>
      <c r="B71" s="6" t="n"/>
      <c r="C71" s="6" t="n"/>
      <c r="D71" s="6" t="n"/>
      <c r="E71" s="6" t="n"/>
      <c r="F71" s="6" t="n"/>
      <c r="G71" s="6" t="n"/>
      <c r="H71" s="7">
        <f>IF(OR(D71="",E71="",F71="",C71=""),"",IF(C71="short",(D71-F71)/ABS(D71-E71),(F71-D71)/ABS(D71-E71)))</f>
        <v/>
      </c>
      <c r="I71" s="8">
        <f>IF(H71="","",IF(H71&gt;0,"Win",IF(H71&lt;0,"Loss","Breakeven")))</f>
        <v/>
      </c>
      <c r="J71" s="6" t="n"/>
      <c r="K71" s="6" t="n"/>
    </row>
    <row r="72">
      <c r="A72" s="5" t="n"/>
      <c r="B72" s="6" t="n"/>
      <c r="C72" s="6" t="n"/>
      <c r="D72" s="6" t="n"/>
      <c r="E72" s="6" t="n"/>
      <c r="F72" s="6" t="n"/>
      <c r="G72" s="6" t="n"/>
      <c r="H72" s="7">
        <f>IF(OR(D72="",E72="",F72="",C72=""),"",IF(C72="short",(D72-F72)/ABS(D72-E72),(F72-D72)/ABS(D72-E72)))</f>
        <v/>
      </c>
      <c r="I72" s="8">
        <f>IF(H72="","",IF(H72&gt;0,"Win",IF(H72&lt;0,"Loss","Breakeven")))</f>
        <v/>
      </c>
      <c r="J72" s="6" t="n"/>
      <c r="K72" s="6" t="n"/>
    </row>
    <row r="73">
      <c r="A73" s="5" t="n"/>
      <c r="B73" s="6" t="n"/>
      <c r="C73" s="6" t="n"/>
      <c r="D73" s="6" t="n"/>
      <c r="E73" s="6" t="n"/>
      <c r="F73" s="6" t="n"/>
      <c r="G73" s="6" t="n"/>
      <c r="H73" s="7">
        <f>IF(OR(D73="",E73="",F73="",C73=""),"",IF(C73="short",(D73-F73)/ABS(D73-E73),(F73-D73)/ABS(D73-E73)))</f>
        <v/>
      </c>
      <c r="I73" s="8">
        <f>IF(H73="","",IF(H73&gt;0,"Win",IF(H73&lt;0,"Loss","Breakeven")))</f>
        <v/>
      </c>
      <c r="J73" s="6" t="n"/>
      <c r="K73" s="6" t="n"/>
    </row>
    <row r="74">
      <c r="A74" s="5" t="n"/>
      <c r="B74" s="6" t="n"/>
      <c r="C74" s="6" t="n"/>
      <c r="D74" s="6" t="n"/>
      <c r="E74" s="6" t="n"/>
      <c r="F74" s="6" t="n"/>
      <c r="G74" s="6" t="n"/>
      <c r="H74" s="7">
        <f>IF(OR(D74="",E74="",F74="",C74=""),"",IF(C74="short",(D74-F74)/ABS(D74-E74),(F74-D74)/ABS(D74-E74)))</f>
        <v/>
      </c>
      <c r="I74" s="8">
        <f>IF(H74="","",IF(H74&gt;0,"Win",IF(H74&lt;0,"Loss","Breakeven")))</f>
        <v/>
      </c>
      <c r="J74" s="6" t="n"/>
      <c r="K74" s="6" t="n"/>
    </row>
    <row r="75">
      <c r="A75" s="5" t="n"/>
      <c r="B75" s="6" t="n"/>
      <c r="C75" s="6" t="n"/>
      <c r="D75" s="6" t="n"/>
      <c r="E75" s="6" t="n"/>
      <c r="F75" s="6" t="n"/>
      <c r="G75" s="6" t="n"/>
      <c r="H75" s="7">
        <f>IF(OR(D75="",E75="",F75="",C75=""),"",IF(C75="short",(D75-F75)/ABS(D75-E75),(F75-D75)/ABS(D75-E75)))</f>
        <v/>
      </c>
      <c r="I75" s="8">
        <f>IF(H75="","",IF(H75&gt;0,"Win",IF(H75&lt;0,"Loss","Breakeven")))</f>
        <v/>
      </c>
      <c r="J75" s="6" t="n"/>
      <c r="K75" s="6" t="n"/>
    </row>
    <row r="76">
      <c r="A76" s="5" t="n"/>
      <c r="B76" s="6" t="n"/>
      <c r="C76" s="6" t="n"/>
      <c r="D76" s="6" t="n"/>
      <c r="E76" s="6" t="n"/>
      <c r="F76" s="6" t="n"/>
      <c r="G76" s="6" t="n"/>
      <c r="H76" s="7">
        <f>IF(OR(D76="",E76="",F76="",C76=""),"",IF(C76="short",(D76-F76)/ABS(D76-E76),(F76-D76)/ABS(D76-E76)))</f>
        <v/>
      </c>
      <c r="I76" s="8">
        <f>IF(H76="","",IF(H76&gt;0,"Win",IF(H76&lt;0,"Loss","Breakeven")))</f>
        <v/>
      </c>
      <c r="J76" s="6" t="n"/>
      <c r="K76" s="6" t="n"/>
    </row>
    <row r="77">
      <c r="A77" s="5" t="n"/>
      <c r="B77" s="6" t="n"/>
      <c r="C77" s="6" t="n"/>
      <c r="D77" s="6" t="n"/>
      <c r="E77" s="6" t="n"/>
      <c r="F77" s="6" t="n"/>
      <c r="G77" s="6" t="n"/>
      <c r="H77" s="7">
        <f>IF(OR(D77="",E77="",F77="",C77=""),"",IF(C77="short",(D77-F77)/ABS(D77-E77),(F77-D77)/ABS(D77-E77)))</f>
        <v/>
      </c>
      <c r="I77" s="8">
        <f>IF(H77="","",IF(H77&gt;0,"Win",IF(H77&lt;0,"Loss","Breakeven")))</f>
        <v/>
      </c>
      <c r="J77" s="6" t="n"/>
      <c r="K77" s="6" t="n"/>
    </row>
    <row r="78">
      <c r="A78" s="5" t="n"/>
      <c r="B78" s="6" t="n"/>
      <c r="C78" s="6" t="n"/>
      <c r="D78" s="6" t="n"/>
      <c r="E78" s="6" t="n"/>
      <c r="F78" s="6" t="n"/>
      <c r="G78" s="6" t="n"/>
      <c r="H78" s="7">
        <f>IF(OR(D78="",E78="",F78="",C78=""),"",IF(C78="short",(D78-F78)/ABS(D78-E78),(F78-D78)/ABS(D78-E78)))</f>
        <v/>
      </c>
      <c r="I78" s="8">
        <f>IF(H78="","",IF(H78&gt;0,"Win",IF(H78&lt;0,"Loss","Breakeven")))</f>
        <v/>
      </c>
      <c r="J78" s="6" t="n"/>
      <c r="K78" s="6" t="n"/>
    </row>
    <row r="79">
      <c r="A79" s="5" t="n"/>
      <c r="B79" s="6" t="n"/>
      <c r="C79" s="6" t="n"/>
      <c r="D79" s="6" t="n"/>
      <c r="E79" s="6" t="n"/>
      <c r="F79" s="6" t="n"/>
      <c r="G79" s="6" t="n"/>
      <c r="H79" s="7">
        <f>IF(OR(D79="",E79="",F79="",C79=""),"",IF(C79="short",(D79-F79)/ABS(D79-E79),(F79-D79)/ABS(D79-E79)))</f>
        <v/>
      </c>
      <c r="I79" s="8">
        <f>IF(H79="","",IF(H79&gt;0,"Win",IF(H79&lt;0,"Loss","Breakeven")))</f>
        <v/>
      </c>
      <c r="J79" s="6" t="n"/>
      <c r="K79" s="6" t="n"/>
    </row>
    <row r="80">
      <c r="A80" s="5" t="n"/>
      <c r="B80" s="6" t="n"/>
      <c r="C80" s="6" t="n"/>
      <c r="D80" s="6" t="n"/>
      <c r="E80" s="6" t="n"/>
      <c r="F80" s="6" t="n"/>
      <c r="G80" s="6" t="n"/>
      <c r="H80" s="7">
        <f>IF(OR(D80="",E80="",F80="",C80=""),"",IF(C80="short",(D80-F80)/ABS(D80-E80),(F80-D80)/ABS(D80-E80)))</f>
        <v/>
      </c>
      <c r="I80" s="8">
        <f>IF(H80="","",IF(H80&gt;0,"Win",IF(H80&lt;0,"Loss","Breakeven")))</f>
        <v/>
      </c>
      <c r="J80" s="6" t="n"/>
      <c r="K80" s="6" t="n"/>
    </row>
    <row r="81">
      <c r="A81" s="5" t="n"/>
      <c r="B81" s="6" t="n"/>
      <c r="C81" s="6" t="n"/>
      <c r="D81" s="6" t="n"/>
      <c r="E81" s="6" t="n"/>
      <c r="F81" s="6" t="n"/>
      <c r="G81" s="6" t="n"/>
      <c r="H81" s="7">
        <f>IF(OR(D81="",E81="",F81="",C81=""),"",IF(C81="short",(D81-F81)/ABS(D81-E81),(F81-D81)/ABS(D81-E81)))</f>
        <v/>
      </c>
      <c r="I81" s="8">
        <f>IF(H81="","",IF(H81&gt;0,"Win",IF(H81&lt;0,"Loss","Breakeven")))</f>
        <v/>
      </c>
      <c r="J81" s="6" t="n"/>
      <c r="K81" s="6" t="n"/>
    </row>
    <row r="82">
      <c r="A82" s="5" t="n"/>
      <c r="B82" s="6" t="n"/>
      <c r="C82" s="6" t="n"/>
      <c r="D82" s="6" t="n"/>
      <c r="E82" s="6" t="n"/>
      <c r="F82" s="6" t="n"/>
      <c r="G82" s="6" t="n"/>
      <c r="H82" s="7">
        <f>IF(OR(D82="",E82="",F82="",C82=""),"",IF(C82="short",(D82-F82)/ABS(D82-E82),(F82-D82)/ABS(D82-E82)))</f>
        <v/>
      </c>
      <c r="I82" s="8">
        <f>IF(H82="","",IF(H82&gt;0,"Win",IF(H82&lt;0,"Loss","Breakeven")))</f>
        <v/>
      </c>
      <c r="J82" s="6" t="n"/>
      <c r="K82" s="6" t="n"/>
    </row>
    <row r="83">
      <c r="A83" s="5" t="n"/>
      <c r="B83" s="6" t="n"/>
      <c r="C83" s="6" t="n"/>
      <c r="D83" s="6" t="n"/>
      <c r="E83" s="6" t="n"/>
      <c r="F83" s="6" t="n"/>
      <c r="G83" s="6" t="n"/>
      <c r="H83" s="7">
        <f>IF(OR(D83="",E83="",F83="",C83=""),"",IF(C83="short",(D83-F83)/ABS(D83-E83),(F83-D83)/ABS(D83-E83)))</f>
        <v/>
      </c>
      <c r="I83" s="8">
        <f>IF(H83="","",IF(H83&gt;0,"Win",IF(H83&lt;0,"Loss","Breakeven")))</f>
        <v/>
      </c>
      <c r="J83" s="6" t="n"/>
      <c r="K83" s="6" t="n"/>
    </row>
    <row r="84">
      <c r="A84" s="5" t="n"/>
      <c r="B84" s="6" t="n"/>
      <c r="C84" s="6" t="n"/>
      <c r="D84" s="6" t="n"/>
      <c r="E84" s="6" t="n"/>
      <c r="F84" s="6" t="n"/>
      <c r="G84" s="6" t="n"/>
      <c r="H84" s="7">
        <f>IF(OR(D84="",E84="",F84="",C84=""),"",IF(C84="short",(D84-F84)/ABS(D84-E84),(F84-D84)/ABS(D84-E84)))</f>
        <v/>
      </c>
      <c r="I84" s="8">
        <f>IF(H84="","",IF(H84&gt;0,"Win",IF(H84&lt;0,"Loss","Breakeven")))</f>
        <v/>
      </c>
      <c r="J84" s="6" t="n"/>
      <c r="K84" s="6" t="n"/>
    </row>
    <row r="85">
      <c r="A85" s="5" t="n"/>
      <c r="B85" s="6" t="n"/>
      <c r="C85" s="6" t="n"/>
      <c r="D85" s="6" t="n"/>
      <c r="E85" s="6" t="n"/>
      <c r="F85" s="6" t="n"/>
      <c r="G85" s="6" t="n"/>
      <c r="H85" s="7">
        <f>IF(OR(D85="",E85="",F85="",C85=""),"",IF(C85="short",(D85-F85)/ABS(D85-E85),(F85-D85)/ABS(D85-E85)))</f>
        <v/>
      </c>
      <c r="I85" s="8">
        <f>IF(H85="","",IF(H85&gt;0,"Win",IF(H85&lt;0,"Loss","Breakeven")))</f>
        <v/>
      </c>
      <c r="J85" s="6" t="n"/>
      <c r="K85" s="6" t="n"/>
    </row>
    <row r="86">
      <c r="A86" s="5" t="n"/>
      <c r="B86" s="6" t="n"/>
      <c r="C86" s="6" t="n"/>
      <c r="D86" s="6" t="n"/>
      <c r="E86" s="6" t="n"/>
      <c r="F86" s="6" t="n"/>
      <c r="G86" s="6" t="n"/>
      <c r="H86" s="7">
        <f>IF(OR(D86="",E86="",F86="",C86=""),"",IF(C86="short",(D86-F86)/ABS(D86-E86),(F86-D86)/ABS(D86-E86)))</f>
        <v/>
      </c>
      <c r="I86" s="8">
        <f>IF(H86="","",IF(H86&gt;0,"Win",IF(H86&lt;0,"Loss","Breakeven")))</f>
        <v/>
      </c>
      <c r="J86" s="6" t="n"/>
      <c r="K86" s="6" t="n"/>
    </row>
    <row r="87">
      <c r="A87" s="5" t="n"/>
      <c r="B87" s="6" t="n"/>
      <c r="C87" s="6" t="n"/>
      <c r="D87" s="6" t="n"/>
      <c r="E87" s="6" t="n"/>
      <c r="F87" s="6" t="n"/>
      <c r="G87" s="6" t="n"/>
      <c r="H87" s="7">
        <f>IF(OR(D87="",E87="",F87="",C87=""),"",IF(C87="short",(D87-F87)/ABS(D87-E87),(F87-D87)/ABS(D87-E87)))</f>
        <v/>
      </c>
      <c r="I87" s="8">
        <f>IF(H87="","",IF(H87&gt;0,"Win",IF(H87&lt;0,"Loss","Breakeven")))</f>
        <v/>
      </c>
      <c r="J87" s="6" t="n"/>
      <c r="K87" s="6" t="n"/>
    </row>
    <row r="88">
      <c r="A88" s="5" t="n"/>
      <c r="B88" s="6" t="n"/>
      <c r="C88" s="6" t="n"/>
      <c r="D88" s="6" t="n"/>
      <c r="E88" s="6" t="n"/>
      <c r="F88" s="6" t="n"/>
      <c r="G88" s="6" t="n"/>
      <c r="H88" s="7">
        <f>IF(OR(D88="",E88="",F88="",C88=""),"",IF(C88="short",(D88-F88)/ABS(D88-E88),(F88-D88)/ABS(D88-E88)))</f>
        <v/>
      </c>
      <c r="I88" s="8">
        <f>IF(H88="","",IF(H88&gt;0,"Win",IF(H88&lt;0,"Loss","Breakeven")))</f>
        <v/>
      </c>
      <c r="J88" s="6" t="n"/>
      <c r="K88" s="6" t="n"/>
    </row>
    <row r="89">
      <c r="A89" s="5" t="n"/>
      <c r="B89" s="6" t="n"/>
      <c r="C89" s="6" t="n"/>
      <c r="D89" s="6" t="n"/>
      <c r="E89" s="6" t="n"/>
      <c r="F89" s="6" t="n"/>
      <c r="G89" s="6" t="n"/>
      <c r="H89" s="7">
        <f>IF(OR(D89="",E89="",F89="",C89=""),"",IF(C89="short",(D89-F89)/ABS(D89-E89),(F89-D89)/ABS(D89-E89)))</f>
        <v/>
      </c>
      <c r="I89" s="8">
        <f>IF(H89="","",IF(H89&gt;0,"Win",IF(H89&lt;0,"Loss","Breakeven")))</f>
        <v/>
      </c>
      <c r="J89" s="6" t="n"/>
      <c r="K89" s="6" t="n"/>
    </row>
    <row r="90">
      <c r="A90" s="5" t="n"/>
      <c r="B90" s="6" t="n"/>
      <c r="C90" s="6" t="n"/>
      <c r="D90" s="6" t="n"/>
      <c r="E90" s="6" t="n"/>
      <c r="F90" s="6" t="n"/>
      <c r="G90" s="6" t="n"/>
      <c r="H90" s="7">
        <f>IF(OR(D90="",E90="",F90="",C90=""),"",IF(C90="short",(D90-F90)/ABS(D90-E90),(F90-D90)/ABS(D90-E90)))</f>
        <v/>
      </c>
      <c r="I90" s="8">
        <f>IF(H90="","",IF(H90&gt;0,"Win",IF(H90&lt;0,"Loss","Breakeven")))</f>
        <v/>
      </c>
      <c r="J90" s="6" t="n"/>
      <c r="K90" s="6" t="n"/>
    </row>
    <row r="91">
      <c r="A91" s="5" t="n"/>
      <c r="B91" s="6" t="n"/>
      <c r="C91" s="6" t="n"/>
      <c r="D91" s="6" t="n"/>
      <c r="E91" s="6" t="n"/>
      <c r="F91" s="6" t="n"/>
      <c r="G91" s="6" t="n"/>
      <c r="H91" s="7">
        <f>IF(OR(D91="",E91="",F91="",C91=""),"",IF(C91="short",(D91-F91)/ABS(D91-E91),(F91-D91)/ABS(D91-E91)))</f>
        <v/>
      </c>
      <c r="I91" s="8">
        <f>IF(H91="","",IF(H91&gt;0,"Win",IF(H91&lt;0,"Loss","Breakeven")))</f>
        <v/>
      </c>
      <c r="J91" s="6" t="n"/>
      <c r="K91" s="6" t="n"/>
    </row>
    <row r="92">
      <c r="A92" s="5" t="n"/>
      <c r="B92" s="6" t="n"/>
      <c r="C92" s="6" t="n"/>
      <c r="D92" s="6" t="n"/>
      <c r="E92" s="6" t="n"/>
      <c r="F92" s="6" t="n"/>
      <c r="G92" s="6" t="n"/>
      <c r="H92" s="7">
        <f>IF(OR(D92="",E92="",F92="",C92=""),"",IF(C92="short",(D92-F92)/ABS(D92-E92),(F92-D92)/ABS(D92-E92)))</f>
        <v/>
      </c>
      <c r="I92" s="8">
        <f>IF(H92="","",IF(H92&gt;0,"Win",IF(H92&lt;0,"Loss","Breakeven")))</f>
        <v/>
      </c>
      <c r="J92" s="6" t="n"/>
      <c r="K92" s="6" t="n"/>
    </row>
    <row r="93">
      <c r="A93" s="5" t="n"/>
      <c r="B93" s="6" t="n"/>
      <c r="C93" s="6" t="n"/>
      <c r="D93" s="6" t="n"/>
      <c r="E93" s="6" t="n"/>
      <c r="F93" s="6" t="n"/>
      <c r="G93" s="6" t="n"/>
      <c r="H93" s="7">
        <f>IF(OR(D93="",E93="",F93="",C93=""),"",IF(C93="short",(D93-F93)/ABS(D93-E93),(F93-D93)/ABS(D93-E93)))</f>
        <v/>
      </c>
      <c r="I93" s="8">
        <f>IF(H93="","",IF(H93&gt;0,"Win",IF(H93&lt;0,"Loss","Breakeven")))</f>
        <v/>
      </c>
      <c r="J93" s="6" t="n"/>
      <c r="K93" s="6" t="n"/>
    </row>
    <row r="94">
      <c r="A94" s="5" t="n"/>
      <c r="B94" s="6" t="n"/>
      <c r="C94" s="6" t="n"/>
      <c r="D94" s="6" t="n"/>
      <c r="E94" s="6" t="n"/>
      <c r="F94" s="6" t="n"/>
      <c r="G94" s="6" t="n"/>
      <c r="H94" s="7">
        <f>IF(OR(D94="",E94="",F94="",C94=""),"",IF(C94="short",(D94-F94)/ABS(D94-E94),(F94-D94)/ABS(D94-E94)))</f>
        <v/>
      </c>
      <c r="I94" s="8">
        <f>IF(H94="","",IF(H94&gt;0,"Win",IF(H94&lt;0,"Loss","Breakeven")))</f>
        <v/>
      </c>
      <c r="J94" s="6" t="n"/>
      <c r="K94" s="6" t="n"/>
    </row>
    <row r="95">
      <c r="A95" s="5" t="n"/>
      <c r="B95" s="6" t="n"/>
      <c r="C95" s="6" t="n"/>
      <c r="D95" s="6" t="n"/>
      <c r="E95" s="6" t="n"/>
      <c r="F95" s="6" t="n"/>
      <c r="G95" s="6" t="n"/>
      <c r="H95" s="7">
        <f>IF(OR(D95="",E95="",F95="",C95=""),"",IF(C95="short",(D95-F95)/ABS(D95-E95),(F95-D95)/ABS(D95-E95)))</f>
        <v/>
      </c>
      <c r="I95" s="8">
        <f>IF(H95="","",IF(H95&gt;0,"Win",IF(H95&lt;0,"Loss","Breakeven")))</f>
        <v/>
      </c>
      <c r="J95" s="6" t="n"/>
      <c r="K95" s="6" t="n"/>
    </row>
    <row r="96">
      <c r="A96" s="5" t="n"/>
      <c r="B96" s="6" t="n"/>
      <c r="C96" s="6" t="n"/>
      <c r="D96" s="6" t="n"/>
      <c r="E96" s="6" t="n"/>
      <c r="F96" s="6" t="n"/>
      <c r="G96" s="6" t="n"/>
      <c r="H96" s="7">
        <f>IF(OR(D96="",E96="",F96="",C96=""),"",IF(C96="short",(D96-F96)/ABS(D96-E96),(F96-D96)/ABS(D96-E96)))</f>
        <v/>
      </c>
      <c r="I96" s="8">
        <f>IF(H96="","",IF(H96&gt;0,"Win",IF(H96&lt;0,"Loss","Breakeven")))</f>
        <v/>
      </c>
      <c r="J96" s="6" t="n"/>
      <c r="K96" s="6" t="n"/>
    </row>
    <row r="97">
      <c r="A97" s="5" t="n"/>
      <c r="B97" s="6" t="n"/>
      <c r="C97" s="6" t="n"/>
      <c r="D97" s="6" t="n"/>
      <c r="E97" s="6" t="n"/>
      <c r="F97" s="6" t="n"/>
      <c r="G97" s="6" t="n"/>
      <c r="H97" s="7">
        <f>IF(OR(D97="",E97="",F97="",C97=""),"",IF(C97="short",(D97-F97)/ABS(D97-E97),(F97-D97)/ABS(D97-E97)))</f>
        <v/>
      </c>
      <c r="I97" s="8">
        <f>IF(H97="","",IF(H97&gt;0,"Win",IF(H97&lt;0,"Loss","Breakeven")))</f>
        <v/>
      </c>
      <c r="J97" s="6" t="n"/>
      <c r="K97" s="6" t="n"/>
    </row>
    <row r="98">
      <c r="A98" s="5" t="n"/>
      <c r="B98" s="6" t="n"/>
      <c r="C98" s="6" t="n"/>
      <c r="D98" s="6" t="n"/>
      <c r="E98" s="6" t="n"/>
      <c r="F98" s="6" t="n"/>
      <c r="G98" s="6" t="n"/>
      <c r="H98" s="7">
        <f>IF(OR(D98="",E98="",F98="",C98=""),"",IF(C98="short",(D98-F98)/ABS(D98-E98),(F98-D98)/ABS(D98-E98)))</f>
        <v/>
      </c>
      <c r="I98" s="8">
        <f>IF(H98="","",IF(H98&gt;0,"Win",IF(H98&lt;0,"Loss","Breakeven")))</f>
        <v/>
      </c>
      <c r="J98" s="6" t="n"/>
      <c r="K98" s="6" t="n"/>
    </row>
    <row r="99">
      <c r="A99" s="5" t="n"/>
      <c r="B99" s="6" t="n"/>
      <c r="C99" s="6" t="n"/>
      <c r="D99" s="6" t="n"/>
      <c r="E99" s="6" t="n"/>
      <c r="F99" s="6" t="n"/>
      <c r="G99" s="6" t="n"/>
      <c r="H99" s="7">
        <f>IF(OR(D99="",E99="",F99="",C99=""),"",IF(C99="short",(D99-F99)/ABS(D99-E99),(F99-D99)/ABS(D99-E99)))</f>
        <v/>
      </c>
      <c r="I99" s="8">
        <f>IF(H99="","",IF(H99&gt;0,"Win",IF(H99&lt;0,"Loss","Breakeven")))</f>
        <v/>
      </c>
      <c r="J99" s="6" t="n"/>
      <c r="K99" s="6" t="n"/>
    </row>
    <row r="100">
      <c r="A100" s="5" t="n"/>
      <c r="B100" s="6" t="n"/>
      <c r="C100" s="6" t="n"/>
      <c r="D100" s="6" t="n"/>
      <c r="E100" s="6" t="n"/>
      <c r="F100" s="6" t="n"/>
      <c r="G100" s="6" t="n"/>
      <c r="H100" s="7">
        <f>IF(OR(D100="",E100="",F100="",C100=""),"",IF(C100="short",(D100-F100)/ABS(D100-E100),(F100-D100)/ABS(D100-E100)))</f>
        <v/>
      </c>
      <c r="I100" s="8">
        <f>IF(H100="","",IF(H100&gt;0,"Win",IF(H100&lt;0,"Loss","Breakeven")))</f>
        <v/>
      </c>
      <c r="J100" s="6" t="n"/>
      <c r="K100" s="6" t="n"/>
    </row>
    <row r="101">
      <c r="A101" s="5" t="n"/>
      <c r="B101" s="6" t="n"/>
      <c r="C101" s="6" t="n"/>
      <c r="D101" s="6" t="n"/>
      <c r="E101" s="6" t="n"/>
      <c r="F101" s="6" t="n"/>
      <c r="G101" s="6" t="n"/>
      <c r="H101" s="7">
        <f>IF(OR(D101="",E101="",F101="",C101=""),"",IF(C101="short",(D101-F101)/ABS(D101-E101),(F101-D101)/ABS(D101-E101)))</f>
        <v/>
      </c>
      <c r="I101" s="8">
        <f>IF(H101="","",IF(H101&gt;0,"Win",IF(H101&lt;0,"Loss","Breakeven")))</f>
        <v/>
      </c>
      <c r="J101" s="6" t="n"/>
      <c r="K101" s="6" t="n"/>
    </row>
    <row r="102">
      <c r="A102" s="5" t="n"/>
      <c r="B102" s="6" t="n"/>
      <c r="C102" s="6" t="n"/>
      <c r="D102" s="6" t="n"/>
      <c r="E102" s="6" t="n"/>
      <c r="F102" s="6" t="n"/>
      <c r="G102" s="6" t="n"/>
      <c r="H102" s="7">
        <f>IF(OR(D102="",E102="",F102="",C102=""),"",IF(C102="short",(D102-F102)/ABS(D102-E102),(F102-D102)/ABS(D102-E102)))</f>
        <v/>
      </c>
      <c r="I102" s="8">
        <f>IF(H102="","",IF(H102&gt;0,"Win",IF(H102&lt;0,"Loss","Breakeven")))</f>
        <v/>
      </c>
      <c r="J102" s="6" t="n"/>
      <c r="K102" s="6" t="n"/>
    </row>
    <row r="103">
      <c r="A103" s="5" t="n"/>
      <c r="B103" s="6" t="n"/>
      <c r="C103" s="6" t="n"/>
      <c r="D103" s="6" t="n"/>
      <c r="E103" s="6" t="n"/>
      <c r="F103" s="6" t="n"/>
      <c r="G103" s="6" t="n"/>
      <c r="H103" s="7">
        <f>IF(OR(D103="",E103="",F103="",C103=""),"",IF(C103="short",(D103-F103)/ABS(D103-E103),(F103-D103)/ABS(D103-E103)))</f>
        <v/>
      </c>
      <c r="I103" s="8">
        <f>IF(H103="","",IF(H103&gt;0,"Win",IF(H103&lt;0,"Loss","Breakeven")))</f>
        <v/>
      </c>
      <c r="J103" s="6" t="n"/>
      <c r="K103" s="6" t="n"/>
    </row>
    <row r="104">
      <c r="A104" s="5" t="n"/>
      <c r="B104" s="6" t="n"/>
      <c r="C104" s="6" t="n"/>
      <c r="D104" s="6" t="n"/>
      <c r="E104" s="6" t="n"/>
      <c r="F104" s="6" t="n"/>
      <c r="G104" s="6" t="n"/>
      <c r="H104" s="7">
        <f>IF(OR(D104="",E104="",F104="",C104=""),"",IF(C104="short",(D104-F104)/ABS(D104-E104),(F104-D104)/ABS(D104-E104)))</f>
        <v/>
      </c>
      <c r="I104" s="8">
        <f>IF(H104="","",IF(H104&gt;0,"Win",IF(H104&lt;0,"Loss","Breakeven")))</f>
        <v/>
      </c>
      <c r="J104" s="6" t="n"/>
      <c r="K104" s="6" t="n"/>
    </row>
    <row r="105">
      <c r="A105" s="5" t="n"/>
      <c r="B105" s="6" t="n"/>
      <c r="C105" s="6" t="n"/>
      <c r="D105" s="6" t="n"/>
      <c r="E105" s="6" t="n"/>
      <c r="F105" s="6" t="n"/>
      <c r="G105" s="6" t="n"/>
      <c r="H105" s="7">
        <f>IF(OR(D105="",E105="",F105="",C105=""),"",IF(C105="short",(D105-F105)/ABS(D105-E105),(F105-D105)/ABS(D105-E105)))</f>
        <v/>
      </c>
      <c r="I105" s="8">
        <f>IF(H105="","",IF(H105&gt;0,"Win",IF(H105&lt;0,"Loss","Breakeven")))</f>
        <v/>
      </c>
      <c r="J105" s="6" t="n"/>
      <c r="K105" s="6" t="n"/>
    </row>
    <row r="106">
      <c r="A106" s="5" t="n"/>
      <c r="B106" s="6" t="n"/>
      <c r="C106" s="6" t="n"/>
      <c r="D106" s="6" t="n"/>
      <c r="E106" s="6" t="n"/>
      <c r="F106" s="6" t="n"/>
      <c r="G106" s="6" t="n"/>
      <c r="H106" s="7">
        <f>IF(OR(D106="",E106="",F106="",C106=""),"",IF(C106="short",(D106-F106)/ABS(D106-E106),(F106-D106)/ABS(D106-E106)))</f>
        <v/>
      </c>
      <c r="I106" s="8">
        <f>IF(H106="","",IF(H106&gt;0,"Win",IF(H106&lt;0,"Loss","Breakeven")))</f>
        <v/>
      </c>
      <c r="J106" s="6" t="n"/>
      <c r="K106" s="6" t="n"/>
    </row>
    <row r="107">
      <c r="A107" s="5" t="n"/>
      <c r="B107" s="6" t="n"/>
      <c r="C107" s="6" t="n"/>
      <c r="D107" s="6" t="n"/>
      <c r="E107" s="6" t="n"/>
      <c r="F107" s="6" t="n"/>
      <c r="G107" s="6" t="n"/>
      <c r="H107" s="7">
        <f>IF(OR(D107="",E107="",F107="",C107=""),"",IF(C107="short",(D107-F107)/ABS(D107-E107),(F107-D107)/ABS(D107-E107)))</f>
        <v/>
      </c>
      <c r="I107" s="8">
        <f>IF(H107="","",IF(H107&gt;0,"Win",IF(H107&lt;0,"Loss","Breakeven")))</f>
        <v/>
      </c>
      <c r="J107" s="6" t="n"/>
      <c r="K107" s="6" t="n"/>
    </row>
    <row r="108">
      <c r="A108" s="5" t="n"/>
      <c r="B108" s="6" t="n"/>
      <c r="C108" s="6" t="n"/>
      <c r="D108" s="6" t="n"/>
      <c r="E108" s="6" t="n"/>
      <c r="F108" s="6" t="n"/>
      <c r="G108" s="6" t="n"/>
      <c r="H108" s="7">
        <f>IF(OR(D108="",E108="",F108="",C108=""),"",IF(C108="short",(D108-F108)/ABS(D108-E108),(F108-D108)/ABS(D108-E108)))</f>
        <v/>
      </c>
      <c r="I108" s="8">
        <f>IF(H108="","",IF(H108&gt;0,"Win",IF(H108&lt;0,"Loss","Breakeven")))</f>
        <v/>
      </c>
      <c r="J108" s="6" t="n"/>
      <c r="K108" s="6" t="n"/>
    </row>
    <row r="109">
      <c r="A109" s="5" t="n"/>
      <c r="B109" s="6" t="n"/>
      <c r="C109" s="6" t="n"/>
      <c r="D109" s="6" t="n"/>
      <c r="E109" s="6" t="n"/>
      <c r="F109" s="6" t="n"/>
      <c r="G109" s="6" t="n"/>
      <c r="H109" s="7">
        <f>IF(OR(D109="",E109="",F109="",C109=""),"",IF(C109="short",(D109-F109)/ABS(D109-E109),(F109-D109)/ABS(D109-E109)))</f>
        <v/>
      </c>
      <c r="I109" s="8">
        <f>IF(H109="","",IF(H109&gt;0,"Win",IF(H109&lt;0,"Loss","Breakeven")))</f>
        <v/>
      </c>
      <c r="J109" s="6" t="n"/>
      <c r="K109" s="6" t="n"/>
    </row>
    <row r="110">
      <c r="A110" s="5" t="n"/>
      <c r="B110" s="6" t="n"/>
      <c r="C110" s="6" t="n"/>
      <c r="D110" s="6" t="n"/>
      <c r="E110" s="6" t="n"/>
      <c r="F110" s="6" t="n"/>
      <c r="G110" s="6" t="n"/>
      <c r="H110" s="7">
        <f>IF(OR(D110="",E110="",F110="",C110=""),"",IF(C110="short",(D110-F110)/ABS(D110-E110),(F110-D110)/ABS(D110-E110)))</f>
        <v/>
      </c>
      <c r="I110" s="8">
        <f>IF(H110="","",IF(H110&gt;0,"Win",IF(H110&lt;0,"Loss","Breakeven")))</f>
        <v/>
      </c>
      <c r="J110" s="6" t="n"/>
      <c r="K110" s="6" t="n"/>
    </row>
    <row r="111">
      <c r="A111" s="5" t="n"/>
      <c r="B111" s="6" t="n"/>
      <c r="C111" s="6" t="n"/>
      <c r="D111" s="6" t="n"/>
      <c r="E111" s="6" t="n"/>
      <c r="F111" s="6" t="n"/>
      <c r="G111" s="6" t="n"/>
      <c r="H111" s="7">
        <f>IF(OR(D111="",E111="",F111="",C111=""),"",IF(C111="short",(D111-F111)/ABS(D111-E111),(F111-D111)/ABS(D111-E111)))</f>
        <v/>
      </c>
      <c r="I111" s="8">
        <f>IF(H111="","",IF(H111&gt;0,"Win",IF(H111&lt;0,"Loss","Breakeven")))</f>
        <v/>
      </c>
      <c r="J111" s="6" t="n"/>
      <c r="K111" s="6" t="n"/>
    </row>
    <row r="112">
      <c r="A112" s="5" t="n"/>
      <c r="B112" s="6" t="n"/>
      <c r="C112" s="6" t="n"/>
      <c r="D112" s="6" t="n"/>
      <c r="E112" s="6" t="n"/>
      <c r="F112" s="6" t="n"/>
      <c r="G112" s="6" t="n"/>
      <c r="H112" s="7">
        <f>IF(OR(D112="",E112="",F112="",C112=""),"",IF(C112="short",(D112-F112)/ABS(D112-E112),(F112-D112)/ABS(D112-E112)))</f>
        <v/>
      </c>
      <c r="I112" s="8">
        <f>IF(H112="","",IF(H112&gt;0,"Win",IF(H112&lt;0,"Loss","Breakeven")))</f>
        <v/>
      </c>
      <c r="J112" s="6" t="n"/>
      <c r="K112" s="6" t="n"/>
    </row>
    <row r="113">
      <c r="A113" s="5" t="n"/>
      <c r="B113" s="6" t="n"/>
      <c r="C113" s="6" t="n"/>
      <c r="D113" s="6" t="n"/>
      <c r="E113" s="6" t="n"/>
      <c r="F113" s="6" t="n"/>
      <c r="G113" s="6" t="n"/>
      <c r="H113" s="7">
        <f>IF(OR(D113="",E113="",F113="",C113=""),"",IF(C113="short",(D113-F113)/ABS(D113-E113),(F113-D113)/ABS(D113-E113)))</f>
        <v/>
      </c>
      <c r="I113" s="8">
        <f>IF(H113="","",IF(H113&gt;0,"Win",IF(H113&lt;0,"Loss","Breakeven")))</f>
        <v/>
      </c>
      <c r="J113" s="6" t="n"/>
      <c r="K113" s="6" t="n"/>
    </row>
    <row r="114">
      <c r="A114" s="5" t="n"/>
      <c r="B114" s="6" t="n"/>
      <c r="C114" s="6" t="n"/>
      <c r="D114" s="6" t="n"/>
      <c r="E114" s="6" t="n"/>
      <c r="F114" s="6" t="n"/>
      <c r="G114" s="6" t="n"/>
      <c r="H114" s="7">
        <f>IF(OR(D114="",E114="",F114="",C114=""),"",IF(C114="short",(D114-F114)/ABS(D114-E114),(F114-D114)/ABS(D114-E114)))</f>
        <v/>
      </c>
      <c r="I114" s="8">
        <f>IF(H114="","",IF(H114&gt;0,"Win",IF(H114&lt;0,"Loss","Breakeven")))</f>
        <v/>
      </c>
      <c r="J114" s="6" t="n"/>
      <c r="K114" s="6" t="n"/>
    </row>
    <row r="115">
      <c r="A115" s="5" t="n"/>
      <c r="B115" s="6" t="n"/>
      <c r="C115" s="6" t="n"/>
      <c r="D115" s="6" t="n"/>
      <c r="E115" s="6" t="n"/>
      <c r="F115" s="6" t="n"/>
      <c r="G115" s="6" t="n"/>
      <c r="H115" s="7">
        <f>IF(OR(D115="",E115="",F115="",C115=""),"",IF(C115="short",(D115-F115)/ABS(D115-E115),(F115-D115)/ABS(D115-E115)))</f>
        <v/>
      </c>
      <c r="I115" s="8">
        <f>IF(H115="","",IF(H115&gt;0,"Win",IF(H115&lt;0,"Loss","Breakeven")))</f>
        <v/>
      </c>
      <c r="J115" s="6" t="n"/>
      <c r="K115" s="6" t="n"/>
    </row>
    <row r="116">
      <c r="A116" s="5" t="n"/>
      <c r="B116" s="6" t="n"/>
      <c r="C116" s="6" t="n"/>
      <c r="D116" s="6" t="n"/>
      <c r="E116" s="6" t="n"/>
      <c r="F116" s="6" t="n"/>
      <c r="G116" s="6" t="n"/>
      <c r="H116" s="7">
        <f>IF(OR(D116="",E116="",F116="",C116=""),"",IF(C116="short",(D116-F116)/ABS(D116-E116),(F116-D116)/ABS(D116-E116)))</f>
        <v/>
      </c>
      <c r="I116" s="8">
        <f>IF(H116="","",IF(H116&gt;0,"Win",IF(H116&lt;0,"Loss","Breakeven")))</f>
        <v/>
      </c>
      <c r="J116" s="6" t="n"/>
      <c r="K116" s="6" t="n"/>
    </row>
    <row r="117">
      <c r="A117" s="5" t="n"/>
      <c r="B117" s="6" t="n"/>
      <c r="C117" s="6" t="n"/>
      <c r="D117" s="6" t="n"/>
      <c r="E117" s="6" t="n"/>
      <c r="F117" s="6" t="n"/>
      <c r="G117" s="6" t="n"/>
      <c r="H117" s="7">
        <f>IF(OR(D117="",E117="",F117="",C117=""),"",IF(C117="short",(D117-F117)/ABS(D117-E117),(F117-D117)/ABS(D117-E117)))</f>
        <v/>
      </c>
      <c r="I117" s="8">
        <f>IF(H117="","",IF(H117&gt;0,"Win",IF(H117&lt;0,"Loss","Breakeven")))</f>
        <v/>
      </c>
      <c r="J117" s="6" t="n"/>
      <c r="K117" s="6" t="n"/>
    </row>
    <row r="118">
      <c r="A118" s="5" t="n"/>
      <c r="B118" s="6" t="n"/>
      <c r="C118" s="6" t="n"/>
      <c r="D118" s="6" t="n"/>
      <c r="E118" s="6" t="n"/>
      <c r="F118" s="6" t="n"/>
      <c r="G118" s="6" t="n"/>
      <c r="H118" s="7">
        <f>IF(OR(D118="",E118="",F118="",C118=""),"",IF(C118="short",(D118-F118)/ABS(D118-E118),(F118-D118)/ABS(D118-E118)))</f>
        <v/>
      </c>
      <c r="I118" s="8">
        <f>IF(H118="","",IF(H118&gt;0,"Win",IF(H118&lt;0,"Loss","Breakeven")))</f>
        <v/>
      </c>
      <c r="J118" s="6" t="n"/>
      <c r="K118" s="6" t="n"/>
    </row>
    <row r="119">
      <c r="A119" s="5" t="n"/>
      <c r="B119" s="6" t="n"/>
      <c r="C119" s="6" t="n"/>
      <c r="D119" s="6" t="n"/>
      <c r="E119" s="6" t="n"/>
      <c r="F119" s="6" t="n"/>
      <c r="G119" s="6" t="n"/>
      <c r="H119" s="7">
        <f>IF(OR(D119="",E119="",F119="",C119=""),"",IF(C119="short",(D119-F119)/ABS(D119-E119),(F119-D119)/ABS(D119-E119)))</f>
        <v/>
      </c>
      <c r="I119" s="8">
        <f>IF(H119="","",IF(H119&gt;0,"Win",IF(H119&lt;0,"Loss","Breakeven")))</f>
        <v/>
      </c>
      <c r="J119" s="6" t="n"/>
      <c r="K119" s="6" t="n"/>
    </row>
    <row r="120">
      <c r="A120" s="5" t="n"/>
      <c r="B120" s="6" t="n"/>
      <c r="C120" s="6" t="n"/>
      <c r="D120" s="6" t="n"/>
      <c r="E120" s="6" t="n"/>
      <c r="F120" s="6" t="n"/>
      <c r="G120" s="6" t="n"/>
      <c r="H120" s="7">
        <f>IF(OR(D120="",E120="",F120="",C120=""),"",IF(C120="short",(D120-F120)/ABS(D120-E120),(F120-D120)/ABS(D120-E120)))</f>
        <v/>
      </c>
      <c r="I120" s="8">
        <f>IF(H120="","",IF(H120&gt;0,"Win",IF(H120&lt;0,"Loss","Breakeven")))</f>
        <v/>
      </c>
      <c r="J120" s="6" t="n"/>
      <c r="K120" s="6" t="n"/>
    </row>
    <row r="121">
      <c r="A121" s="5" t="n"/>
      <c r="B121" s="6" t="n"/>
      <c r="C121" s="6" t="n"/>
      <c r="D121" s="6" t="n"/>
      <c r="E121" s="6" t="n"/>
      <c r="F121" s="6" t="n"/>
      <c r="G121" s="6" t="n"/>
      <c r="H121" s="7">
        <f>IF(OR(D121="",E121="",F121="",C121=""),"",IF(C121="short",(D121-F121)/ABS(D121-E121),(F121-D121)/ABS(D121-E121)))</f>
        <v/>
      </c>
      <c r="I121" s="8">
        <f>IF(H121="","",IF(H121&gt;0,"Win",IF(H121&lt;0,"Loss","Breakeven")))</f>
        <v/>
      </c>
      <c r="J121" s="6" t="n"/>
      <c r="K121" s="6" t="n"/>
    </row>
    <row r="122">
      <c r="A122" s="5" t="n"/>
      <c r="B122" s="6" t="n"/>
      <c r="C122" s="6" t="n"/>
      <c r="D122" s="6" t="n"/>
      <c r="E122" s="6" t="n"/>
      <c r="F122" s="6" t="n"/>
      <c r="G122" s="6" t="n"/>
      <c r="H122" s="7">
        <f>IF(OR(D122="",E122="",F122="",C122=""),"",IF(C122="short",(D122-F122)/ABS(D122-E122),(F122-D122)/ABS(D122-E122)))</f>
        <v/>
      </c>
      <c r="I122" s="8">
        <f>IF(H122="","",IF(H122&gt;0,"Win",IF(H122&lt;0,"Loss","Breakeven")))</f>
        <v/>
      </c>
      <c r="J122" s="6" t="n"/>
      <c r="K122" s="6" t="n"/>
    </row>
    <row r="123">
      <c r="A123" s="5" t="n"/>
      <c r="B123" s="6" t="n"/>
      <c r="C123" s="6" t="n"/>
      <c r="D123" s="6" t="n"/>
      <c r="E123" s="6" t="n"/>
      <c r="F123" s="6" t="n"/>
      <c r="G123" s="6" t="n"/>
      <c r="H123" s="7">
        <f>IF(OR(D123="",E123="",F123="",C123=""),"",IF(C123="short",(D123-F123)/ABS(D123-E123),(F123-D123)/ABS(D123-E123)))</f>
        <v/>
      </c>
      <c r="I123" s="8">
        <f>IF(H123="","",IF(H123&gt;0,"Win",IF(H123&lt;0,"Loss","Breakeven")))</f>
        <v/>
      </c>
      <c r="J123" s="6" t="n"/>
      <c r="K123" s="6" t="n"/>
    </row>
    <row r="124">
      <c r="A124" s="5" t="n"/>
      <c r="B124" s="6" t="n"/>
      <c r="C124" s="6" t="n"/>
      <c r="D124" s="6" t="n"/>
      <c r="E124" s="6" t="n"/>
      <c r="F124" s="6" t="n"/>
      <c r="G124" s="6" t="n"/>
      <c r="H124" s="7">
        <f>IF(OR(D124="",E124="",F124="",C124=""),"",IF(C124="short",(D124-F124)/ABS(D124-E124),(F124-D124)/ABS(D124-E124)))</f>
        <v/>
      </c>
      <c r="I124" s="8">
        <f>IF(H124="","",IF(H124&gt;0,"Win",IF(H124&lt;0,"Loss","Breakeven")))</f>
        <v/>
      </c>
      <c r="J124" s="6" t="n"/>
      <c r="K124" s="6" t="n"/>
    </row>
    <row r="125">
      <c r="A125" s="5" t="n"/>
      <c r="B125" s="6" t="n"/>
      <c r="C125" s="6" t="n"/>
      <c r="D125" s="6" t="n"/>
      <c r="E125" s="6" t="n"/>
      <c r="F125" s="6" t="n"/>
      <c r="G125" s="6" t="n"/>
      <c r="H125" s="7">
        <f>IF(OR(D125="",E125="",F125="",C125=""),"",IF(C125="short",(D125-F125)/ABS(D125-E125),(F125-D125)/ABS(D125-E125)))</f>
        <v/>
      </c>
      <c r="I125" s="8">
        <f>IF(H125="","",IF(H125&gt;0,"Win",IF(H125&lt;0,"Loss","Breakeven")))</f>
        <v/>
      </c>
      <c r="J125" s="6" t="n"/>
      <c r="K125" s="6" t="n"/>
    </row>
    <row r="126">
      <c r="A126" s="5" t="n"/>
      <c r="B126" s="6" t="n"/>
      <c r="C126" s="6" t="n"/>
      <c r="D126" s="6" t="n"/>
      <c r="E126" s="6" t="n"/>
      <c r="F126" s="6" t="n"/>
      <c r="G126" s="6" t="n"/>
      <c r="H126" s="7">
        <f>IF(OR(D126="",E126="",F126="",C126=""),"",IF(C126="short",(D126-F126)/ABS(D126-E126),(F126-D126)/ABS(D126-E126)))</f>
        <v/>
      </c>
      <c r="I126" s="8">
        <f>IF(H126="","",IF(H126&gt;0,"Win",IF(H126&lt;0,"Loss","Breakeven")))</f>
        <v/>
      </c>
      <c r="J126" s="6" t="n"/>
      <c r="K126" s="6" t="n"/>
    </row>
    <row r="127">
      <c r="A127" s="5" t="n"/>
      <c r="B127" s="6" t="n"/>
      <c r="C127" s="6" t="n"/>
      <c r="D127" s="6" t="n"/>
      <c r="E127" s="6" t="n"/>
      <c r="F127" s="6" t="n"/>
      <c r="G127" s="6" t="n"/>
      <c r="H127" s="7">
        <f>IF(OR(D127="",E127="",F127="",C127=""),"",IF(C127="short",(D127-F127)/ABS(D127-E127),(F127-D127)/ABS(D127-E127)))</f>
        <v/>
      </c>
      <c r="I127" s="8">
        <f>IF(H127="","",IF(H127&gt;0,"Win",IF(H127&lt;0,"Loss","Breakeven")))</f>
        <v/>
      </c>
      <c r="J127" s="6" t="n"/>
      <c r="K127" s="6" t="n"/>
    </row>
    <row r="128">
      <c r="A128" s="5" t="n"/>
      <c r="B128" s="6" t="n"/>
      <c r="C128" s="6" t="n"/>
      <c r="D128" s="6" t="n"/>
      <c r="E128" s="6" t="n"/>
      <c r="F128" s="6" t="n"/>
      <c r="G128" s="6" t="n"/>
      <c r="H128" s="7">
        <f>IF(OR(D128="",E128="",F128="",C128=""),"",IF(C128="short",(D128-F128)/ABS(D128-E128),(F128-D128)/ABS(D128-E128)))</f>
        <v/>
      </c>
      <c r="I128" s="8">
        <f>IF(H128="","",IF(H128&gt;0,"Win",IF(H128&lt;0,"Loss","Breakeven")))</f>
        <v/>
      </c>
      <c r="J128" s="6" t="n"/>
      <c r="K128" s="6" t="n"/>
    </row>
    <row r="129">
      <c r="A129" s="5" t="n"/>
      <c r="B129" s="6" t="n"/>
      <c r="C129" s="6" t="n"/>
      <c r="D129" s="6" t="n"/>
      <c r="E129" s="6" t="n"/>
      <c r="F129" s="6" t="n"/>
      <c r="G129" s="6" t="n"/>
      <c r="H129" s="7">
        <f>IF(OR(D129="",E129="",F129="",C129=""),"",IF(C129="short",(D129-F129)/ABS(D129-E129),(F129-D129)/ABS(D129-E129)))</f>
        <v/>
      </c>
      <c r="I129" s="8">
        <f>IF(H129="","",IF(H129&gt;0,"Win",IF(H129&lt;0,"Loss","Breakeven")))</f>
        <v/>
      </c>
      <c r="J129" s="6" t="n"/>
      <c r="K129" s="6" t="n"/>
    </row>
    <row r="130">
      <c r="A130" s="5" t="n"/>
      <c r="B130" s="6" t="n"/>
      <c r="C130" s="6" t="n"/>
      <c r="D130" s="6" t="n"/>
      <c r="E130" s="6" t="n"/>
      <c r="F130" s="6" t="n"/>
      <c r="G130" s="6" t="n"/>
      <c r="H130" s="7">
        <f>IF(OR(D130="",E130="",F130="",C130=""),"",IF(C130="short",(D130-F130)/ABS(D130-E130),(F130-D130)/ABS(D130-E130)))</f>
        <v/>
      </c>
      <c r="I130" s="8">
        <f>IF(H130="","",IF(H130&gt;0,"Win",IF(H130&lt;0,"Loss","Breakeven")))</f>
        <v/>
      </c>
      <c r="J130" s="6" t="n"/>
      <c r="K130" s="6" t="n"/>
    </row>
    <row r="131">
      <c r="A131" s="5" t="n"/>
      <c r="B131" s="6" t="n"/>
      <c r="C131" s="6" t="n"/>
      <c r="D131" s="6" t="n"/>
      <c r="E131" s="6" t="n"/>
      <c r="F131" s="6" t="n"/>
      <c r="G131" s="6" t="n"/>
      <c r="H131" s="7">
        <f>IF(OR(D131="",E131="",F131="",C131=""),"",IF(C131="short",(D131-F131)/ABS(D131-E131),(F131-D131)/ABS(D131-E131)))</f>
        <v/>
      </c>
      <c r="I131" s="8">
        <f>IF(H131="","",IF(H131&gt;0,"Win",IF(H131&lt;0,"Loss","Breakeven")))</f>
        <v/>
      </c>
      <c r="J131" s="6" t="n"/>
      <c r="K131" s="6" t="n"/>
    </row>
    <row r="132">
      <c r="A132" s="5" t="n"/>
      <c r="B132" s="6" t="n"/>
      <c r="C132" s="6" t="n"/>
      <c r="D132" s="6" t="n"/>
      <c r="E132" s="6" t="n"/>
      <c r="F132" s="6" t="n"/>
      <c r="G132" s="6" t="n"/>
      <c r="H132" s="7">
        <f>IF(OR(D132="",E132="",F132="",C132=""),"",IF(C132="short",(D132-F132)/ABS(D132-E132),(F132-D132)/ABS(D132-E132)))</f>
        <v/>
      </c>
      <c r="I132" s="8">
        <f>IF(H132="","",IF(H132&gt;0,"Win",IF(H132&lt;0,"Loss","Breakeven")))</f>
        <v/>
      </c>
      <c r="J132" s="6" t="n"/>
      <c r="K132" s="6" t="n"/>
    </row>
    <row r="133">
      <c r="A133" s="5" t="n"/>
      <c r="B133" s="6" t="n"/>
      <c r="C133" s="6" t="n"/>
      <c r="D133" s="6" t="n"/>
      <c r="E133" s="6" t="n"/>
      <c r="F133" s="6" t="n"/>
      <c r="G133" s="6" t="n"/>
      <c r="H133" s="7">
        <f>IF(OR(D133="",E133="",F133="",C133=""),"",IF(C133="short",(D133-F133)/ABS(D133-E133),(F133-D133)/ABS(D133-E133)))</f>
        <v/>
      </c>
      <c r="I133" s="8">
        <f>IF(H133="","",IF(H133&gt;0,"Win",IF(H133&lt;0,"Loss","Breakeven")))</f>
        <v/>
      </c>
      <c r="J133" s="6" t="n"/>
      <c r="K133" s="6" t="n"/>
    </row>
    <row r="134">
      <c r="A134" s="5" t="n"/>
      <c r="B134" s="6" t="n"/>
      <c r="C134" s="6" t="n"/>
      <c r="D134" s="6" t="n"/>
      <c r="E134" s="6" t="n"/>
      <c r="F134" s="6" t="n"/>
      <c r="G134" s="6" t="n"/>
      <c r="H134" s="7">
        <f>IF(OR(D134="",E134="",F134="",C134=""),"",IF(C134="short",(D134-F134)/ABS(D134-E134),(F134-D134)/ABS(D134-E134)))</f>
        <v/>
      </c>
      <c r="I134" s="8">
        <f>IF(H134="","",IF(H134&gt;0,"Win",IF(H134&lt;0,"Loss","Breakeven")))</f>
        <v/>
      </c>
      <c r="J134" s="6" t="n"/>
      <c r="K134" s="6" t="n"/>
    </row>
    <row r="135">
      <c r="A135" s="5" t="n"/>
      <c r="B135" s="6" t="n"/>
      <c r="C135" s="6" t="n"/>
      <c r="D135" s="6" t="n"/>
      <c r="E135" s="6" t="n"/>
      <c r="F135" s="6" t="n"/>
      <c r="G135" s="6" t="n"/>
      <c r="H135" s="7">
        <f>IF(OR(D135="",E135="",F135="",C135=""),"",IF(C135="short",(D135-F135)/ABS(D135-E135),(F135-D135)/ABS(D135-E135)))</f>
        <v/>
      </c>
      <c r="I135" s="8">
        <f>IF(H135="","",IF(H135&gt;0,"Win",IF(H135&lt;0,"Loss","Breakeven")))</f>
        <v/>
      </c>
      <c r="J135" s="6" t="n"/>
      <c r="K135" s="6" t="n"/>
    </row>
    <row r="136">
      <c r="A136" s="5" t="n"/>
      <c r="B136" s="6" t="n"/>
      <c r="C136" s="6" t="n"/>
      <c r="D136" s="6" t="n"/>
      <c r="E136" s="6" t="n"/>
      <c r="F136" s="6" t="n"/>
      <c r="G136" s="6" t="n"/>
      <c r="H136" s="7">
        <f>IF(OR(D136="",E136="",F136="",C136=""),"",IF(C136="short",(D136-F136)/ABS(D136-E136),(F136-D136)/ABS(D136-E136)))</f>
        <v/>
      </c>
      <c r="I136" s="8">
        <f>IF(H136="","",IF(H136&gt;0,"Win",IF(H136&lt;0,"Loss","Breakeven")))</f>
        <v/>
      </c>
      <c r="J136" s="6" t="n"/>
      <c r="K136" s="6" t="n"/>
    </row>
    <row r="137">
      <c r="A137" s="5" t="n"/>
      <c r="B137" s="6" t="n"/>
      <c r="C137" s="6" t="n"/>
      <c r="D137" s="6" t="n"/>
      <c r="E137" s="6" t="n"/>
      <c r="F137" s="6" t="n"/>
      <c r="G137" s="6" t="n"/>
      <c r="H137" s="7">
        <f>IF(OR(D137="",E137="",F137="",C137=""),"",IF(C137="short",(D137-F137)/ABS(D137-E137),(F137-D137)/ABS(D137-E137)))</f>
        <v/>
      </c>
      <c r="I137" s="8">
        <f>IF(H137="","",IF(H137&gt;0,"Win",IF(H137&lt;0,"Loss","Breakeven")))</f>
        <v/>
      </c>
      <c r="J137" s="6" t="n"/>
      <c r="K137" s="6" t="n"/>
    </row>
    <row r="138">
      <c r="A138" s="5" t="n"/>
      <c r="B138" s="6" t="n"/>
      <c r="C138" s="6" t="n"/>
      <c r="D138" s="6" t="n"/>
      <c r="E138" s="6" t="n"/>
      <c r="F138" s="6" t="n"/>
      <c r="G138" s="6" t="n"/>
      <c r="H138" s="7">
        <f>IF(OR(D138="",E138="",F138="",C138=""),"",IF(C138="short",(D138-F138)/ABS(D138-E138),(F138-D138)/ABS(D138-E138)))</f>
        <v/>
      </c>
      <c r="I138" s="8">
        <f>IF(H138="","",IF(H138&gt;0,"Win",IF(H138&lt;0,"Loss","Breakeven")))</f>
        <v/>
      </c>
      <c r="J138" s="6" t="n"/>
      <c r="K138" s="6" t="n"/>
    </row>
    <row r="139">
      <c r="A139" s="5" t="n"/>
      <c r="B139" s="6" t="n"/>
      <c r="C139" s="6" t="n"/>
      <c r="D139" s="6" t="n"/>
      <c r="E139" s="6" t="n"/>
      <c r="F139" s="6" t="n"/>
      <c r="G139" s="6" t="n"/>
      <c r="H139" s="7">
        <f>IF(OR(D139="",E139="",F139="",C139=""),"",IF(C139="short",(D139-F139)/ABS(D139-E139),(F139-D139)/ABS(D139-E139)))</f>
        <v/>
      </c>
      <c r="I139" s="8">
        <f>IF(H139="","",IF(H139&gt;0,"Win",IF(H139&lt;0,"Loss","Breakeven")))</f>
        <v/>
      </c>
      <c r="J139" s="6" t="n"/>
      <c r="K139" s="6" t="n"/>
    </row>
    <row r="140">
      <c r="A140" s="5" t="n"/>
      <c r="B140" s="6" t="n"/>
      <c r="C140" s="6" t="n"/>
      <c r="D140" s="6" t="n"/>
      <c r="E140" s="6" t="n"/>
      <c r="F140" s="6" t="n"/>
      <c r="G140" s="6" t="n"/>
      <c r="H140" s="7">
        <f>IF(OR(D140="",E140="",F140="",C140=""),"",IF(C140="short",(D140-F140)/ABS(D140-E140),(F140-D140)/ABS(D140-E140)))</f>
        <v/>
      </c>
      <c r="I140" s="8">
        <f>IF(H140="","",IF(H140&gt;0,"Win",IF(H140&lt;0,"Loss","Breakeven")))</f>
        <v/>
      </c>
      <c r="J140" s="6" t="n"/>
      <c r="K140" s="6" t="n"/>
    </row>
    <row r="141">
      <c r="A141" s="5" t="n"/>
      <c r="B141" s="6" t="n"/>
      <c r="C141" s="6" t="n"/>
      <c r="D141" s="6" t="n"/>
      <c r="E141" s="6" t="n"/>
      <c r="F141" s="6" t="n"/>
      <c r="G141" s="6" t="n"/>
      <c r="H141" s="7">
        <f>IF(OR(D141="",E141="",F141="",C141=""),"",IF(C141="short",(D141-F141)/ABS(D141-E141),(F141-D141)/ABS(D141-E141)))</f>
        <v/>
      </c>
      <c r="I141" s="8">
        <f>IF(H141="","",IF(H141&gt;0,"Win",IF(H141&lt;0,"Loss","Breakeven")))</f>
        <v/>
      </c>
      <c r="J141" s="6" t="n"/>
      <c r="K141" s="6" t="n"/>
    </row>
    <row r="142">
      <c r="A142" s="5" t="n"/>
      <c r="B142" s="6" t="n"/>
      <c r="C142" s="6" t="n"/>
      <c r="D142" s="6" t="n"/>
      <c r="E142" s="6" t="n"/>
      <c r="F142" s="6" t="n"/>
      <c r="G142" s="6" t="n"/>
      <c r="H142" s="7">
        <f>IF(OR(D142="",E142="",F142="",C142=""),"",IF(C142="short",(D142-F142)/ABS(D142-E142),(F142-D142)/ABS(D142-E142)))</f>
        <v/>
      </c>
      <c r="I142" s="8">
        <f>IF(H142="","",IF(H142&gt;0,"Win",IF(H142&lt;0,"Loss","Breakeven")))</f>
        <v/>
      </c>
      <c r="J142" s="6" t="n"/>
      <c r="K142" s="6" t="n"/>
    </row>
    <row r="143">
      <c r="A143" s="5" t="n"/>
      <c r="B143" s="6" t="n"/>
      <c r="C143" s="6" t="n"/>
      <c r="D143" s="6" t="n"/>
      <c r="E143" s="6" t="n"/>
      <c r="F143" s="6" t="n"/>
      <c r="G143" s="6" t="n"/>
      <c r="H143" s="7">
        <f>IF(OR(D143="",E143="",F143="",C143=""),"",IF(C143="short",(D143-F143)/ABS(D143-E143),(F143-D143)/ABS(D143-E143)))</f>
        <v/>
      </c>
      <c r="I143" s="8">
        <f>IF(H143="","",IF(H143&gt;0,"Win",IF(H143&lt;0,"Loss","Breakeven")))</f>
        <v/>
      </c>
      <c r="J143" s="6" t="n"/>
      <c r="K143" s="6" t="n"/>
    </row>
    <row r="144">
      <c r="A144" s="5" t="n"/>
      <c r="B144" s="6" t="n"/>
      <c r="C144" s="6" t="n"/>
      <c r="D144" s="6" t="n"/>
      <c r="E144" s="6" t="n"/>
      <c r="F144" s="6" t="n"/>
      <c r="G144" s="6" t="n"/>
      <c r="H144" s="7">
        <f>IF(OR(D144="",E144="",F144="",C144=""),"",IF(C144="short",(D144-F144)/ABS(D144-E144),(F144-D144)/ABS(D144-E144)))</f>
        <v/>
      </c>
      <c r="I144" s="8">
        <f>IF(H144="","",IF(H144&gt;0,"Win",IF(H144&lt;0,"Loss","Breakeven")))</f>
        <v/>
      </c>
      <c r="J144" s="6" t="n"/>
      <c r="K144" s="6" t="n"/>
    </row>
    <row r="145">
      <c r="A145" s="5" t="n"/>
      <c r="B145" s="6" t="n"/>
      <c r="C145" s="6" t="n"/>
      <c r="D145" s="6" t="n"/>
      <c r="E145" s="6" t="n"/>
      <c r="F145" s="6" t="n"/>
      <c r="G145" s="6" t="n"/>
      <c r="H145" s="7">
        <f>IF(OR(D145="",E145="",F145="",C145=""),"",IF(C145="short",(D145-F145)/ABS(D145-E145),(F145-D145)/ABS(D145-E145)))</f>
        <v/>
      </c>
      <c r="I145" s="8">
        <f>IF(H145="","",IF(H145&gt;0,"Win",IF(H145&lt;0,"Loss","Breakeven")))</f>
        <v/>
      </c>
      <c r="J145" s="6" t="n"/>
      <c r="K145" s="6" t="n"/>
    </row>
    <row r="146">
      <c r="A146" s="5" t="n"/>
      <c r="B146" s="6" t="n"/>
      <c r="C146" s="6" t="n"/>
      <c r="D146" s="6" t="n"/>
      <c r="E146" s="6" t="n"/>
      <c r="F146" s="6" t="n"/>
      <c r="G146" s="6" t="n"/>
      <c r="H146" s="7">
        <f>IF(OR(D146="",E146="",F146="",C146=""),"",IF(C146="short",(D146-F146)/ABS(D146-E146),(F146-D146)/ABS(D146-E146)))</f>
        <v/>
      </c>
      <c r="I146" s="8">
        <f>IF(H146="","",IF(H146&gt;0,"Win",IF(H146&lt;0,"Loss","Breakeven")))</f>
        <v/>
      </c>
      <c r="J146" s="6" t="n"/>
      <c r="K146" s="6" t="n"/>
    </row>
    <row r="147">
      <c r="A147" s="5" t="n"/>
      <c r="B147" s="6" t="n"/>
      <c r="C147" s="6" t="n"/>
      <c r="D147" s="6" t="n"/>
      <c r="E147" s="6" t="n"/>
      <c r="F147" s="6" t="n"/>
      <c r="G147" s="6" t="n"/>
      <c r="H147" s="7">
        <f>IF(OR(D147="",E147="",F147="",C147=""),"",IF(C147="short",(D147-F147)/ABS(D147-E147),(F147-D147)/ABS(D147-E147)))</f>
        <v/>
      </c>
      <c r="I147" s="8">
        <f>IF(H147="","",IF(H147&gt;0,"Win",IF(H147&lt;0,"Loss","Breakeven")))</f>
        <v/>
      </c>
      <c r="J147" s="6" t="n"/>
      <c r="K147" s="6" t="n"/>
    </row>
    <row r="148">
      <c r="A148" s="5" t="n"/>
      <c r="B148" s="6" t="n"/>
      <c r="C148" s="6" t="n"/>
      <c r="D148" s="6" t="n"/>
      <c r="E148" s="6" t="n"/>
      <c r="F148" s="6" t="n"/>
      <c r="G148" s="6" t="n"/>
      <c r="H148" s="7">
        <f>IF(OR(D148="",E148="",F148="",C148=""),"",IF(C148="short",(D148-F148)/ABS(D148-E148),(F148-D148)/ABS(D148-E148)))</f>
        <v/>
      </c>
      <c r="I148" s="8">
        <f>IF(H148="","",IF(H148&gt;0,"Win",IF(H148&lt;0,"Loss","Breakeven")))</f>
        <v/>
      </c>
      <c r="J148" s="6" t="n"/>
      <c r="K148" s="6" t="n"/>
    </row>
    <row r="149">
      <c r="A149" s="5" t="n"/>
      <c r="B149" s="6" t="n"/>
      <c r="C149" s="6" t="n"/>
      <c r="D149" s="6" t="n"/>
      <c r="E149" s="6" t="n"/>
      <c r="F149" s="6" t="n"/>
      <c r="G149" s="6" t="n"/>
      <c r="H149" s="7">
        <f>IF(OR(D149="",E149="",F149="",C149=""),"",IF(C149="short",(D149-F149)/ABS(D149-E149),(F149-D149)/ABS(D149-E149)))</f>
        <v/>
      </c>
      <c r="I149" s="8">
        <f>IF(H149="","",IF(H149&gt;0,"Win",IF(H149&lt;0,"Loss","Breakeven")))</f>
        <v/>
      </c>
      <c r="J149" s="6" t="n"/>
      <c r="K149" s="6" t="n"/>
    </row>
    <row r="150">
      <c r="A150" s="5" t="n"/>
      <c r="B150" s="6" t="n"/>
      <c r="C150" s="6" t="n"/>
      <c r="D150" s="6" t="n"/>
      <c r="E150" s="6" t="n"/>
      <c r="F150" s="6" t="n"/>
      <c r="G150" s="6" t="n"/>
      <c r="H150" s="7">
        <f>IF(OR(D150="",E150="",F150="",C150=""),"",IF(C150="short",(D150-F150)/ABS(D150-E150),(F150-D150)/ABS(D150-E150)))</f>
        <v/>
      </c>
      <c r="I150" s="8">
        <f>IF(H150="","",IF(H150&gt;0,"Win",IF(H150&lt;0,"Loss","Breakeven")))</f>
        <v/>
      </c>
      <c r="J150" s="6" t="n"/>
      <c r="K150" s="6" t="n"/>
    </row>
    <row r="151">
      <c r="A151" s="5" t="n"/>
      <c r="B151" s="6" t="n"/>
      <c r="C151" s="6" t="n"/>
      <c r="D151" s="6" t="n"/>
      <c r="E151" s="6" t="n"/>
      <c r="F151" s="6" t="n"/>
      <c r="G151" s="6" t="n"/>
      <c r="H151" s="7">
        <f>IF(OR(D151="",E151="",F151="",C151=""),"",IF(C151="short",(D151-F151)/ABS(D151-E151),(F151-D151)/ABS(D151-E151)))</f>
        <v/>
      </c>
      <c r="I151" s="8">
        <f>IF(H151="","",IF(H151&gt;0,"Win",IF(H151&lt;0,"Loss","Breakeven")))</f>
        <v/>
      </c>
      <c r="J151" s="6" t="n"/>
      <c r="K151" s="6" t="n"/>
    </row>
    <row r="152">
      <c r="A152" s="5" t="n"/>
      <c r="B152" s="6" t="n"/>
      <c r="C152" s="6" t="n"/>
      <c r="D152" s="6" t="n"/>
      <c r="E152" s="6" t="n"/>
      <c r="F152" s="6" t="n"/>
      <c r="G152" s="6" t="n"/>
      <c r="H152" s="7">
        <f>IF(OR(D152="",E152="",F152="",C152=""),"",IF(C152="short",(D152-F152)/ABS(D152-E152),(F152-D152)/ABS(D152-E152)))</f>
        <v/>
      </c>
      <c r="I152" s="8">
        <f>IF(H152="","",IF(H152&gt;0,"Win",IF(H152&lt;0,"Loss","Breakeven")))</f>
        <v/>
      </c>
      <c r="J152" s="6" t="n"/>
      <c r="K152" s="6" t="n"/>
    </row>
    <row r="153">
      <c r="A153" s="5" t="n"/>
      <c r="B153" s="6" t="n"/>
      <c r="C153" s="6" t="n"/>
      <c r="D153" s="6" t="n"/>
      <c r="E153" s="6" t="n"/>
      <c r="F153" s="6" t="n"/>
      <c r="G153" s="6" t="n"/>
      <c r="H153" s="7">
        <f>IF(OR(D153="",E153="",F153="",C153=""),"",IF(C153="short",(D153-F153)/ABS(D153-E153),(F153-D153)/ABS(D153-E153)))</f>
        <v/>
      </c>
      <c r="I153" s="8">
        <f>IF(H153="","",IF(H153&gt;0,"Win",IF(H153&lt;0,"Loss","Breakeven")))</f>
        <v/>
      </c>
      <c r="J153" s="6" t="n"/>
      <c r="K153" s="6" t="n"/>
    </row>
    <row r="154">
      <c r="A154" s="5" t="n"/>
      <c r="B154" s="6" t="n"/>
      <c r="C154" s="6" t="n"/>
      <c r="D154" s="6" t="n"/>
      <c r="E154" s="6" t="n"/>
      <c r="F154" s="6" t="n"/>
      <c r="G154" s="6" t="n"/>
      <c r="H154" s="7">
        <f>IF(OR(D154="",E154="",F154="",C154=""),"",IF(C154="short",(D154-F154)/ABS(D154-E154),(F154-D154)/ABS(D154-E154)))</f>
        <v/>
      </c>
      <c r="I154" s="8">
        <f>IF(H154="","",IF(H154&gt;0,"Win",IF(H154&lt;0,"Loss","Breakeven")))</f>
        <v/>
      </c>
      <c r="J154" s="6" t="n"/>
      <c r="K154" s="6" t="n"/>
    </row>
    <row r="155">
      <c r="A155" s="5" t="n"/>
      <c r="B155" s="6" t="n"/>
      <c r="C155" s="6" t="n"/>
      <c r="D155" s="6" t="n"/>
      <c r="E155" s="6" t="n"/>
      <c r="F155" s="6" t="n"/>
      <c r="G155" s="6" t="n"/>
      <c r="H155" s="7">
        <f>IF(OR(D155="",E155="",F155="",C155=""),"",IF(C155="short",(D155-F155)/ABS(D155-E155),(F155-D155)/ABS(D155-E155)))</f>
        <v/>
      </c>
      <c r="I155" s="8">
        <f>IF(H155="","",IF(H155&gt;0,"Win",IF(H155&lt;0,"Loss","Breakeven")))</f>
        <v/>
      </c>
      <c r="J155" s="6" t="n"/>
      <c r="K155" s="6" t="n"/>
    </row>
    <row r="156">
      <c r="A156" s="5" t="n"/>
      <c r="B156" s="6" t="n"/>
      <c r="C156" s="6" t="n"/>
      <c r="D156" s="6" t="n"/>
      <c r="E156" s="6" t="n"/>
      <c r="F156" s="6" t="n"/>
      <c r="G156" s="6" t="n"/>
      <c r="H156" s="7">
        <f>IF(OR(D156="",E156="",F156="",C156=""),"",IF(C156="short",(D156-F156)/ABS(D156-E156),(F156-D156)/ABS(D156-E156)))</f>
        <v/>
      </c>
      <c r="I156" s="8">
        <f>IF(H156="","",IF(H156&gt;0,"Win",IF(H156&lt;0,"Loss","Breakeven")))</f>
        <v/>
      </c>
      <c r="J156" s="6" t="n"/>
      <c r="K156" s="6" t="n"/>
    </row>
    <row r="157">
      <c r="A157" s="5" t="n"/>
      <c r="B157" s="6" t="n"/>
      <c r="C157" s="6" t="n"/>
      <c r="D157" s="6" t="n"/>
      <c r="E157" s="6" t="n"/>
      <c r="F157" s="6" t="n"/>
      <c r="G157" s="6" t="n"/>
      <c r="H157" s="7">
        <f>IF(OR(D157="",E157="",F157="",C157=""),"",IF(C157="short",(D157-F157)/ABS(D157-E157),(F157-D157)/ABS(D157-E157)))</f>
        <v/>
      </c>
      <c r="I157" s="8">
        <f>IF(H157="","",IF(H157&gt;0,"Win",IF(H157&lt;0,"Loss","Breakeven")))</f>
        <v/>
      </c>
      <c r="J157" s="6" t="n"/>
      <c r="K157" s="6" t="n"/>
    </row>
    <row r="158">
      <c r="A158" s="5" t="n"/>
      <c r="B158" s="6" t="n"/>
      <c r="C158" s="6" t="n"/>
      <c r="D158" s="6" t="n"/>
      <c r="E158" s="6" t="n"/>
      <c r="F158" s="6" t="n"/>
      <c r="G158" s="6" t="n"/>
      <c r="H158" s="7">
        <f>IF(OR(D158="",E158="",F158="",C158=""),"",IF(C158="short",(D158-F158)/ABS(D158-E158),(F158-D158)/ABS(D158-E158)))</f>
        <v/>
      </c>
      <c r="I158" s="8">
        <f>IF(H158="","",IF(H158&gt;0,"Win",IF(H158&lt;0,"Loss","Breakeven")))</f>
        <v/>
      </c>
      <c r="J158" s="6" t="n"/>
      <c r="K158" s="6" t="n"/>
    </row>
    <row r="159">
      <c r="A159" s="5" t="n"/>
      <c r="B159" s="6" t="n"/>
      <c r="C159" s="6" t="n"/>
      <c r="D159" s="6" t="n"/>
      <c r="E159" s="6" t="n"/>
      <c r="F159" s="6" t="n"/>
      <c r="G159" s="6" t="n"/>
      <c r="H159" s="7">
        <f>IF(OR(D159="",E159="",F159="",C159=""),"",IF(C159="short",(D159-F159)/ABS(D159-E159),(F159-D159)/ABS(D159-E159)))</f>
        <v/>
      </c>
      <c r="I159" s="8">
        <f>IF(H159="","",IF(H159&gt;0,"Win",IF(H159&lt;0,"Loss","Breakeven")))</f>
        <v/>
      </c>
      <c r="J159" s="6" t="n"/>
      <c r="K159" s="6" t="n"/>
    </row>
    <row r="160">
      <c r="A160" s="5" t="n"/>
      <c r="B160" s="6" t="n"/>
      <c r="C160" s="6" t="n"/>
      <c r="D160" s="6" t="n"/>
      <c r="E160" s="6" t="n"/>
      <c r="F160" s="6" t="n"/>
      <c r="G160" s="6" t="n"/>
      <c r="H160" s="7">
        <f>IF(OR(D160="",E160="",F160="",C160=""),"",IF(C160="short",(D160-F160)/ABS(D160-E160),(F160-D160)/ABS(D160-E160)))</f>
        <v/>
      </c>
      <c r="I160" s="8">
        <f>IF(H160="","",IF(H160&gt;0,"Win",IF(H160&lt;0,"Loss","Breakeven")))</f>
        <v/>
      </c>
      <c r="J160" s="6" t="n"/>
      <c r="K160" s="6" t="n"/>
    </row>
    <row r="161">
      <c r="A161" s="5" t="n"/>
      <c r="B161" s="6" t="n"/>
      <c r="C161" s="6" t="n"/>
      <c r="D161" s="6" t="n"/>
      <c r="E161" s="6" t="n"/>
      <c r="F161" s="6" t="n"/>
      <c r="G161" s="6" t="n"/>
      <c r="H161" s="7">
        <f>IF(OR(D161="",E161="",F161="",C161=""),"",IF(C161="short",(D161-F161)/ABS(D161-E161),(F161-D161)/ABS(D161-E161)))</f>
        <v/>
      </c>
      <c r="I161" s="8">
        <f>IF(H161="","",IF(H161&gt;0,"Win",IF(H161&lt;0,"Loss","Breakeven")))</f>
        <v/>
      </c>
      <c r="J161" s="6" t="n"/>
      <c r="K161" s="6" t="n"/>
    </row>
    <row r="162">
      <c r="A162" s="5" t="n"/>
      <c r="B162" s="6" t="n"/>
      <c r="C162" s="6" t="n"/>
      <c r="D162" s="6" t="n"/>
      <c r="E162" s="6" t="n"/>
      <c r="F162" s="6" t="n"/>
      <c r="G162" s="6" t="n"/>
      <c r="H162" s="7">
        <f>IF(OR(D162="",E162="",F162="",C162=""),"",IF(C162="short",(D162-F162)/ABS(D162-E162),(F162-D162)/ABS(D162-E162)))</f>
        <v/>
      </c>
      <c r="I162" s="8">
        <f>IF(H162="","",IF(H162&gt;0,"Win",IF(H162&lt;0,"Loss","Breakeven")))</f>
        <v/>
      </c>
      <c r="J162" s="6" t="n"/>
      <c r="K162" s="6" t="n"/>
    </row>
    <row r="163">
      <c r="A163" s="5" t="n"/>
      <c r="B163" s="6" t="n"/>
      <c r="C163" s="6" t="n"/>
      <c r="D163" s="6" t="n"/>
      <c r="E163" s="6" t="n"/>
      <c r="F163" s="6" t="n"/>
      <c r="G163" s="6" t="n"/>
      <c r="H163" s="7">
        <f>IF(OR(D163="",E163="",F163="",C163=""),"",IF(C163="short",(D163-F163)/ABS(D163-E163),(F163-D163)/ABS(D163-E163)))</f>
        <v/>
      </c>
      <c r="I163" s="8">
        <f>IF(H163="","",IF(H163&gt;0,"Win",IF(H163&lt;0,"Loss","Breakeven")))</f>
        <v/>
      </c>
      <c r="J163" s="6" t="n"/>
      <c r="K163" s="6" t="n"/>
    </row>
    <row r="164">
      <c r="A164" s="5" t="n"/>
      <c r="B164" s="6" t="n"/>
      <c r="C164" s="6" t="n"/>
      <c r="D164" s="6" t="n"/>
      <c r="E164" s="6" t="n"/>
      <c r="F164" s="6" t="n"/>
      <c r="G164" s="6" t="n"/>
      <c r="H164" s="7">
        <f>IF(OR(D164="",E164="",F164="",C164=""),"",IF(C164="short",(D164-F164)/ABS(D164-E164),(F164-D164)/ABS(D164-E164)))</f>
        <v/>
      </c>
      <c r="I164" s="8">
        <f>IF(H164="","",IF(H164&gt;0,"Win",IF(H164&lt;0,"Loss","Breakeven")))</f>
        <v/>
      </c>
      <c r="J164" s="6" t="n"/>
      <c r="K164" s="6" t="n"/>
    </row>
    <row r="165">
      <c r="A165" s="5" t="n"/>
      <c r="B165" s="6" t="n"/>
      <c r="C165" s="6" t="n"/>
      <c r="D165" s="6" t="n"/>
      <c r="E165" s="6" t="n"/>
      <c r="F165" s="6" t="n"/>
      <c r="G165" s="6" t="n"/>
      <c r="H165" s="7">
        <f>IF(OR(D165="",E165="",F165="",C165=""),"",IF(C165="short",(D165-F165)/ABS(D165-E165),(F165-D165)/ABS(D165-E165)))</f>
        <v/>
      </c>
      <c r="I165" s="8">
        <f>IF(H165="","",IF(H165&gt;0,"Win",IF(H165&lt;0,"Loss","Breakeven")))</f>
        <v/>
      </c>
      <c r="J165" s="6" t="n"/>
      <c r="K165" s="6" t="n"/>
    </row>
    <row r="166">
      <c r="A166" s="5" t="n"/>
      <c r="B166" s="6" t="n"/>
      <c r="C166" s="6" t="n"/>
      <c r="D166" s="6" t="n"/>
      <c r="E166" s="6" t="n"/>
      <c r="F166" s="6" t="n"/>
      <c r="G166" s="6" t="n"/>
      <c r="H166" s="7">
        <f>IF(OR(D166="",E166="",F166="",C166=""),"",IF(C166="short",(D166-F166)/ABS(D166-E166),(F166-D166)/ABS(D166-E166)))</f>
        <v/>
      </c>
      <c r="I166" s="8">
        <f>IF(H166="","",IF(H166&gt;0,"Win",IF(H166&lt;0,"Loss","Breakeven")))</f>
        <v/>
      </c>
      <c r="J166" s="6" t="n"/>
      <c r="K166" s="6" t="n"/>
    </row>
    <row r="167">
      <c r="A167" s="5" t="n"/>
      <c r="B167" s="6" t="n"/>
      <c r="C167" s="6" t="n"/>
      <c r="D167" s="6" t="n"/>
      <c r="E167" s="6" t="n"/>
      <c r="F167" s="6" t="n"/>
      <c r="G167" s="6" t="n"/>
      <c r="H167" s="7">
        <f>IF(OR(D167="",E167="",F167="",C167=""),"",IF(C167="short",(D167-F167)/ABS(D167-E167),(F167-D167)/ABS(D167-E167)))</f>
        <v/>
      </c>
      <c r="I167" s="8">
        <f>IF(H167="","",IF(H167&gt;0,"Win",IF(H167&lt;0,"Loss","Breakeven")))</f>
        <v/>
      </c>
      <c r="J167" s="6" t="n"/>
      <c r="K167" s="6" t="n"/>
    </row>
    <row r="168">
      <c r="A168" s="5" t="n"/>
      <c r="B168" s="6" t="n"/>
      <c r="C168" s="6" t="n"/>
      <c r="D168" s="6" t="n"/>
      <c r="E168" s="6" t="n"/>
      <c r="F168" s="6" t="n"/>
      <c r="G168" s="6" t="n"/>
      <c r="H168" s="7">
        <f>IF(OR(D168="",E168="",F168="",C168=""),"",IF(C168="short",(D168-F168)/ABS(D168-E168),(F168-D168)/ABS(D168-E168)))</f>
        <v/>
      </c>
      <c r="I168" s="8">
        <f>IF(H168="","",IF(H168&gt;0,"Win",IF(H168&lt;0,"Loss","Breakeven")))</f>
        <v/>
      </c>
      <c r="J168" s="6" t="n"/>
      <c r="K168" s="6" t="n"/>
    </row>
    <row r="169">
      <c r="A169" s="5" t="n"/>
      <c r="B169" s="6" t="n"/>
      <c r="C169" s="6" t="n"/>
      <c r="D169" s="6" t="n"/>
      <c r="E169" s="6" t="n"/>
      <c r="F169" s="6" t="n"/>
      <c r="G169" s="6" t="n"/>
      <c r="H169" s="7">
        <f>IF(OR(D169="",E169="",F169="",C169=""),"",IF(C169="short",(D169-F169)/ABS(D169-E169),(F169-D169)/ABS(D169-E169)))</f>
        <v/>
      </c>
      <c r="I169" s="8">
        <f>IF(H169="","",IF(H169&gt;0,"Win",IF(H169&lt;0,"Loss","Breakeven")))</f>
        <v/>
      </c>
      <c r="J169" s="6" t="n"/>
      <c r="K169" s="6" t="n"/>
    </row>
    <row r="170">
      <c r="A170" s="5" t="n"/>
      <c r="B170" s="6" t="n"/>
      <c r="C170" s="6" t="n"/>
      <c r="D170" s="6" t="n"/>
      <c r="E170" s="6" t="n"/>
      <c r="F170" s="6" t="n"/>
      <c r="G170" s="6" t="n"/>
      <c r="H170" s="7">
        <f>IF(OR(D170="",E170="",F170="",C170=""),"",IF(C170="short",(D170-F170)/ABS(D170-E170),(F170-D170)/ABS(D170-E170)))</f>
        <v/>
      </c>
      <c r="I170" s="8">
        <f>IF(H170="","",IF(H170&gt;0,"Win",IF(H170&lt;0,"Loss","Breakeven")))</f>
        <v/>
      </c>
      <c r="J170" s="6" t="n"/>
      <c r="K170" s="6" t="n"/>
    </row>
    <row r="171">
      <c r="A171" s="5" t="n"/>
      <c r="B171" s="6" t="n"/>
      <c r="C171" s="6" t="n"/>
      <c r="D171" s="6" t="n"/>
      <c r="E171" s="6" t="n"/>
      <c r="F171" s="6" t="n"/>
      <c r="G171" s="6" t="n"/>
      <c r="H171" s="7">
        <f>IF(OR(D171="",E171="",F171="",C171=""),"",IF(C171="short",(D171-F171)/ABS(D171-E171),(F171-D171)/ABS(D171-E171)))</f>
        <v/>
      </c>
      <c r="I171" s="8">
        <f>IF(H171="","",IF(H171&gt;0,"Win",IF(H171&lt;0,"Loss","Breakeven")))</f>
        <v/>
      </c>
      <c r="J171" s="6" t="n"/>
      <c r="K171" s="6" t="n"/>
    </row>
    <row r="172">
      <c r="A172" s="5" t="n"/>
      <c r="B172" s="6" t="n"/>
      <c r="C172" s="6" t="n"/>
      <c r="D172" s="6" t="n"/>
      <c r="E172" s="6" t="n"/>
      <c r="F172" s="6" t="n"/>
      <c r="G172" s="6" t="n"/>
      <c r="H172" s="7">
        <f>IF(OR(D172="",E172="",F172="",C172=""),"",IF(C172="short",(D172-F172)/ABS(D172-E172),(F172-D172)/ABS(D172-E172)))</f>
        <v/>
      </c>
      <c r="I172" s="8">
        <f>IF(H172="","",IF(H172&gt;0,"Win",IF(H172&lt;0,"Loss","Breakeven")))</f>
        <v/>
      </c>
      <c r="J172" s="6" t="n"/>
      <c r="K172" s="6" t="n"/>
    </row>
    <row r="173">
      <c r="A173" s="5" t="n"/>
      <c r="B173" s="6" t="n"/>
      <c r="C173" s="6" t="n"/>
      <c r="D173" s="6" t="n"/>
      <c r="E173" s="6" t="n"/>
      <c r="F173" s="6" t="n"/>
      <c r="G173" s="6" t="n"/>
      <c r="H173" s="7">
        <f>IF(OR(D173="",E173="",F173="",C173=""),"",IF(C173="short",(D173-F173)/ABS(D173-E173),(F173-D173)/ABS(D173-E173)))</f>
        <v/>
      </c>
      <c r="I173" s="8">
        <f>IF(H173="","",IF(H173&gt;0,"Win",IF(H173&lt;0,"Loss","Breakeven")))</f>
        <v/>
      </c>
      <c r="J173" s="6" t="n"/>
      <c r="K173" s="6" t="n"/>
    </row>
    <row r="174">
      <c r="A174" s="5" t="n"/>
      <c r="B174" s="6" t="n"/>
      <c r="C174" s="6" t="n"/>
      <c r="D174" s="6" t="n"/>
      <c r="E174" s="6" t="n"/>
      <c r="F174" s="6" t="n"/>
      <c r="G174" s="6" t="n"/>
      <c r="H174" s="7">
        <f>IF(OR(D174="",E174="",F174="",C174=""),"",IF(C174="short",(D174-F174)/ABS(D174-E174),(F174-D174)/ABS(D174-E174)))</f>
        <v/>
      </c>
      <c r="I174" s="8">
        <f>IF(H174="","",IF(H174&gt;0,"Win",IF(H174&lt;0,"Loss","Breakeven")))</f>
        <v/>
      </c>
      <c r="J174" s="6" t="n"/>
      <c r="K174" s="6" t="n"/>
    </row>
    <row r="175">
      <c r="A175" s="5" t="n"/>
      <c r="B175" s="6" t="n"/>
      <c r="C175" s="6" t="n"/>
      <c r="D175" s="6" t="n"/>
      <c r="E175" s="6" t="n"/>
      <c r="F175" s="6" t="n"/>
      <c r="G175" s="6" t="n"/>
      <c r="H175" s="7">
        <f>IF(OR(D175="",E175="",F175="",C175=""),"",IF(C175="short",(D175-F175)/ABS(D175-E175),(F175-D175)/ABS(D175-E175)))</f>
        <v/>
      </c>
      <c r="I175" s="8">
        <f>IF(H175="","",IF(H175&gt;0,"Win",IF(H175&lt;0,"Loss","Breakeven")))</f>
        <v/>
      </c>
      <c r="J175" s="6" t="n"/>
      <c r="K175" s="6" t="n"/>
    </row>
    <row r="176">
      <c r="A176" s="5" t="n"/>
      <c r="B176" s="6" t="n"/>
      <c r="C176" s="6" t="n"/>
      <c r="D176" s="6" t="n"/>
      <c r="E176" s="6" t="n"/>
      <c r="F176" s="6" t="n"/>
      <c r="G176" s="6" t="n"/>
      <c r="H176" s="7">
        <f>IF(OR(D176="",E176="",F176="",C176=""),"",IF(C176="short",(D176-F176)/ABS(D176-E176),(F176-D176)/ABS(D176-E176)))</f>
        <v/>
      </c>
      <c r="I176" s="8">
        <f>IF(H176="","",IF(H176&gt;0,"Win",IF(H176&lt;0,"Loss","Breakeven")))</f>
        <v/>
      </c>
      <c r="J176" s="6" t="n"/>
      <c r="K176" s="6" t="n"/>
    </row>
    <row r="177">
      <c r="A177" s="5" t="n"/>
      <c r="B177" s="6" t="n"/>
      <c r="C177" s="6" t="n"/>
      <c r="D177" s="6" t="n"/>
      <c r="E177" s="6" t="n"/>
      <c r="F177" s="6" t="n"/>
      <c r="G177" s="6" t="n"/>
      <c r="H177" s="7">
        <f>IF(OR(D177="",E177="",F177="",C177=""),"",IF(C177="short",(D177-F177)/ABS(D177-E177),(F177-D177)/ABS(D177-E177)))</f>
        <v/>
      </c>
      <c r="I177" s="8">
        <f>IF(H177="","",IF(H177&gt;0,"Win",IF(H177&lt;0,"Loss","Breakeven")))</f>
        <v/>
      </c>
      <c r="J177" s="6" t="n"/>
      <c r="K177" s="6" t="n"/>
    </row>
    <row r="178">
      <c r="A178" s="5" t="n"/>
      <c r="B178" s="6" t="n"/>
      <c r="C178" s="6" t="n"/>
      <c r="D178" s="6" t="n"/>
      <c r="E178" s="6" t="n"/>
      <c r="F178" s="6" t="n"/>
      <c r="G178" s="6" t="n"/>
      <c r="H178" s="7">
        <f>IF(OR(D178="",E178="",F178="",C178=""),"",IF(C178="short",(D178-F178)/ABS(D178-E178),(F178-D178)/ABS(D178-E178)))</f>
        <v/>
      </c>
      <c r="I178" s="8">
        <f>IF(H178="","",IF(H178&gt;0,"Win",IF(H178&lt;0,"Loss","Breakeven")))</f>
        <v/>
      </c>
      <c r="J178" s="6" t="n"/>
      <c r="K178" s="6" t="n"/>
    </row>
    <row r="179">
      <c r="A179" s="5" t="n"/>
      <c r="B179" s="6" t="n"/>
      <c r="C179" s="6" t="n"/>
      <c r="D179" s="6" t="n"/>
      <c r="E179" s="6" t="n"/>
      <c r="F179" s="6" t="n"/>
      <c r="G179" s="6" t="n"/>
      <c r="H179" s="7">
        <f>IF(OR(D179="",E179="",F179="",C179=""),"",IF(C179="short",(D179-F179)/ABS(D179-E179),(F179-D179)/ABS(D179-E179)))</f>
        <v/>
      </c>
      <c r="I179" s="8">
        <f>IF(H179="","",IF(H179&gt;0,"Win",IF(H179&lt;0,"Loss","Breakeven")))</f>
        <v/>
      </c>
      <c r="J179" s="6" t="n"/>
      <c r="K179" s="6" t="n"/>
    </row>
    <row r="180">
      <c r="A180" s="5" t="n"/>
      <c r="B180" s="6" t="n"/>
      <c r="C180" s="6" t="n"/>
      <c r="D180" s="6" t="n"/>
      <c r="E180" s="6" t="n"/>
      <c r="F180" s="6" t="n"/>
      <c r="G180" s="6" t="n"/>
      <c r="H180" s="7">
        <f>IF(OR(D180="",E180="",F180="",C180=""),"",IF(C180="short",(D180-F180)/ABS(D180-E180),(F180-D180)/ABS(D180-E180)))</f>
        <v/>
      </c>
      <c r="I180" s="8">
        <f>IF(H180="","",IF(H180&gt;0,"Win",IF(H180&lt;0,"Loss","Breakeven")))</f>
        <v/>
      </c>
      <c r="J180" s="6" t="n"/>
      <c r="K180" s="6" t="n"/>
    </row>
    <row r="181">
      <c r="A181" s="5" t="n"/>
      <c r="B181" s="6" t="n"/>
      <c r="C181" s="6" t="n"/>
      <c r="D181" s="6" t="n"/>
      <c r="E181" s="6" t="n"/>
      <c r="F181" s="6" t="n"/>
      <c r="G181" s="6" t="n"/>
      <c r="H181" s="7">
        <f>IF(OR(D181="",E181="",F181="",C181=""),"",IF(C181="short",(D181-F181)/ABS(D181-E181),(F181-D181)/ABS(D181-E181)))</f>
        <v/>
      </c>
      <c r="I181" s="8">
        <f>IF(H181="","",IF(H181&gt;0,"Win",IF(H181&lt;0,"Loss","Breakeven")))</f>
        <v/>
      </c>
      <c r="J181" s="6" t="n"/>
      <c r="K181" s="6" t="n"/>
    </row>
    <row r="182">
      <c r="A182" s="5" t="n"/>
      <c r="B182" s="6" t="n"/>
      <c r="C182" s="6" t="n"/>
      <c r="D182" s="6" t="n"/>
      <c r="E182" s="6" t="n"/>
      <c r="F182" s="6" t="n"/>
      <c r="G182" s="6" t="n"/>
      <c r="H182" s="7">
        <f>IF(OR(D182="",E182="",F182="",C182=""),"",IF(C182="short",(D182-F182)/ABS(D182-E182),(F182-D182)/ABS(D182-E182)))</f>
        <v/>
      </c>
      <c r="I182" s="8">
        <f>IF(H182="","",IF(H182&gt;0,"Win",IF(H182&lt;0,"Loss","Breakeven")))</f>
        <v/>
      </c>
      <c r="J182" s="6" t="n"/>
      <c r="K182" s="6" t="n"/>
    </row>
    <row r="183">
      <c r="A183" s="5" t="n"/>
      <c r="B183" s="6" t="n"/>
      <c r="C183" s="6" t="n"/>
      <c r="D183" s="6" t="n"/>
      <c r="E183" s="6" t="n"/>
      <c r="F183" s="6" t="n"/>
      <c r="G183" s="6" t="n"/>
      <c r="H183" s="7">
        <f>IF(OR(D183="",E183="",F183="",C183=""),"",IF(C183="short",(D183-F183)/ABS(D183-E183),(F183-D183)/ABS(D183-E183)))</f>
        <v/>
      </c>
      <c r="I183" s="8">
        <f>IF(H183="","",IF(H183&gt;0,"Win",IF(H183&lt;0,"Loss","Breakeven")))</f>
        <v/>
      </c>
      <c r="J183" s="6" t="n"/>
      <c r="K183" s="6" t="n"/>
    </row>
    <row r="184">
      <c r="A184" s="5" t="n"/>
      <c r="B184" s="6" t="n"/>
      <c r="C184" s="6" t="n"/>
      <c r="D184" s="6" t="n"/>
      <c r="E184" s="6" t="n"/>
      <c r="F184" s="6" t="n"/>
      <c r="G184" s="6" t="n"/>
      <c r="H184" s="7">
        <f>IF(OR(D184="",E184="",F184="",C184=""),"",IF(C184="short",(D184-F184)/ABS(D184-E184),(F184-D184)/ABS(D184-E184)))</f>
        <v/>
      </c>
      <c r="I184" s="8">
        <f>IF(H184="","",IF(H184&gt;0,"Win",IF(H184&lt;0,"Loss","Breakeven")))</f>
        <v/>
      </c>
      <c r="J184" s="6" t="n"/>
      <c r="K184" s="6" t="n"/>
    </row>
    <row r="185">
      <c r="A185" s="5" t="n"/>
      <c r="B185" s="6" t="n"/>
      <c r="C185" s="6" t="n"/>
      <c r="D185" s="6" t="n"/>
      <c r="E185" s="6" t="n"/>
      <c r="F185" s="6" t="n"/>
      <c r="G185" s="6" t="n"/>
      <c r="H185" s="7">
        <f>IF(OR(D185="",E185="",F185="",C185=""),"",IF(C185="short",(D185-F185)/ABS(D185-E185),(F185-D185)/ABS(D185-E185)))</f>
        <v/>
      </c>
      <c r="I185" s="8">
        <f>IF(H185="","",IF(H185&gt;0,"Win",IF(H185&lt;0,"Loss","Breakeven")))</f>
        <v/>
      </c>
      <c r="J185" s="6" t="n"/>
      <c r="K185" s="6" t="n"/>
    </row>
    <row r="186">
      <c r="A186" s="5" t="n"/>
      <c r="B186" s="6" t="n"/>
      <c r="C186" s="6" t="n"/>
      <c r="D186" s="6" t="n"/>
      <c r="E186" s="6" t="n"/>
      <c r="F186" s="6" t="n"/>
      <c r="G186" s="6" t="n"/>
      <c r="H186" s="7">
        <f>IF(OR(D186="",E186="",F186="",C186=""),"",IF(C186="short",(D186-F186)/ABS(D186-E186),(F186-D186)/ABS(D186-E186)))</f>
        <v/>
      </c>
      <c r="I186" s="8">
        <f>IF(H186="","",IF(H186&gt;0,"Win",IF(H186&lt;0,"Loss","Breakeven")))</f>
        <v/>
      </c>
      <c r="J186" s="6" t="n"/>
      <c r="K186" s="6" t="n"/>
    </row>
    <row r="187">
      <c r="A187" s="5" t="n"/>
      <c r="B187" s="6" t="n"/>
      <c r="C187" s="6" t="n"/>
      <c r="D187" s="6" t="n"/>
      <c r="E187" s="6" t="n"/>
      <c r="F187" s="6" t="n"/>
      <c r="G187" s="6" t="n"/>
      <c r="H187" s="7">
        <f>IF(OR(D187="",E187="",F187="",C187=""),"",IF(C187="short",(D187-F187)/ABS(D187-E187),(F187-D187)/ABS(D187-E187)))</f>
        <v/>
      </c>
      <c r="I187" s="8">
        <f>IF(H187="","",IF(H187&gt;0,"Win",IF(H187&lt;0,"Loss","Breakeven")))</f>
        <v/>
      </c>
      <c r="J187" s="6" t="n"/>
      <c r="K187" s="6" t="n"/>
    </row>
    <row r="188">
      <c r="A188" s="5" t="n"/>
      <c r="B188" s="6" t="n"/>
      <c r="C188" s="6" t="n"/>
      <c r="D188" s="6" t="n"/>
      <c r="E188" s="6" t="n"/>
      <c r="F188" s="6" t="n"/>
      <c r="G188" s="6" t="n"/>
      <c r="H188" s="7">
        <f>IF(OR(D188="",E188="",F188="",C188=""),"",IF(C188="short",(D188-F188)/ABS(D188-E188),(F188-D188)/ABS(D188-E188)))</f>
        <v/>
      </c>
      <c r="I188" s="8">
        <f>IF(H188="","",IF(H188&gt;0,"Win",IF(H188&lt;0,"Loss","Breakeven")))</f>
        <v/>
      </c>
      <c r="J188" s="6" t="n"/>
      <c r="K188" s="6" t="n"/>
    </row>
    <row r="189">
      <c r="A189" s="5" t="n"/>
      <c r="B189" s="6" t="n"/>
      <c r="C189" s="6" t="n"/>
      <c r="D189" s="6" t="n"/>
      <c r="E189" s="6" t="n"/>
      <c r="F189" s="6" t="n"/>
      <c r="G189" s="6" t="n"/>
      <c r="H189" s="7">
        <f>IF(OR(D189="",E189="",F189="",C189=""),"",IF(C189="short",(D189-F189)/ABS(D189-E189),(F189-D189)/ABS(D189-E189)))</f>
        <v/>
      </c>
      <c r="I189" s="8">
        <f>IF(H189="","",IF(H189&gt;0,"Win",IF(H189&lt;0,"Loss","Breakeven")))</f>
        <v/>
      </c>
      <c r="J189" s="6" t="n"/>
      <c r="K189" s="6" t="n"/>
    </row>
    <row r="190">
      <c r="A190" s="5" t="n"/>
      <c r="B190" s="6" t="n"/>
      <c r="C190" s="6" t="n"/>
      <c r="D190" s="6" t="n"/>
      <c r="E190" s="6" t="n"/>
      <c r="F190" s="6" t="n"/>
      <c r="G190" s="6" t="n"/>
      <c r="H190" s="7">
        <f>IF(OR(D190="",E190="",F190="",C190=""),"",IF(C190="short",(D190-F190)/ABS(D190-E190),(F190-D190)/ABS(D190-E190)))</f>
        <v/>
      </c>
      <c r="I190" s="8">
        <f>IF(H190="","",IF(H190&gt;0,"Win",IF(H190&lt;0,"Loss","Breakeven")))</f>
        <v/>
      </c>
      <c r="J190" s="6" t="n"/>
      <c r="K190" s="6" t="n"/>
    </row>
    <row r="191">
      <c r="A191" s="5" t="n"/>
      <c r="B191" s="6" t="n"/>
      <c r="C191" s="6" t="n"/>
      <c r="D191" s="6" t="n"/>
      <c r="E191" s="6" t="n"/>
      <c r="F191" s="6" t="n"/>
      <c r="G191" s="6" t="n"/>
      <c r="H191" s="7">
        <f>IF(OR(D191="",E191="",F191="",C191=""),"",IF(C191="short",(D191-F191)/ABS(D191-E191),(F191-D191)/ABS(D191-E191)))</f>
        <v/>
      </c>
      <c r="I191" s="8">
        <f>IF(H191="","",IF(H191&gt;0,"Win",IF(H191&lt;0,"Loss","Breakeven")))</f>
        <v/>
      </c>
      <c r="J191" s="6" t="n"/>
      <c r="K191" s="6" t="n"/>
    </row>
    <row r="192">
      <c r="A192" s="5" t="n"/>
      <c r="B192" s="6" t="n"/>
      <c r="C192" s="6" t="n"/>
      <c r="D192" s="6" t="n"/>
      <c r="E192" s="6" t="n"/>
      <c r="F192" s="6" t="n"/>
      <c r="G192" s="6" t="n"/>
      <c r="H192" s="7">
        <f>IF(OR(D192="",E192="",F192="",C192=""),"",IF(C192="short",(D192-F192)/ABS(D192-E192),(F192-D192)/ABS(D192-E192)))</f>
        <v/>
      </c>
      <c r="I192" s="8">
        <f>IF(H192="","",IF(H192&gt;0,"Win",IF(H192&lt;0,"Loss","Breakeven")))</f>
        <v/>
      </c>
      <c r="J192" s="6" t="n"/>
      <c r="K192" s="6" t="n"/>
    </row>
    <row r="193">
      <c r="A193" s="5" t="n"/>
      <c r="B193" s="6" t="n"/>
      <c r="C193" s="6" t="n"/>
      <c r="D193" s="6" t="n"/>
      <c r="E193" s="6" t="n"/>
      <c r="F193" s="6" t="n"/>
      <c r="G193" s="6" t="n"/>
      <c r="H193" s="7">
        <f>IF(OR(D193="",E193="",F193="",C193=""),"",IF(C193="short",(D193-F193)/ABS(D193-E193),(F193-D193)/ABS(D193-E193)))</f>
        <v/>
      </c>
      <c r="I193" s="8">
        <f>IF(H193="","",IF(H193&gt;0,"Win",IF(H193&lt;0,"Loss","Breakeven")))</f>
        <v/>
      </c>
      <c r="J193" s="6" t="n"/>
      <c r="K193" s="6" t="n"/>
    </row>
    <row r="194">
      <c r="A194" s="5" t="n"/>
      <c r="B194" s="6" t="n"/>
      <c r="C194" s="6" t="n"/>
      <c r="D194" s="6" t="n"/>
      <c r="E194" s="6" t="n"/>
      <c r="F194" s="6" t="n"/>
      <c r="G194" s="6" t="n"/>
      <c r="H194" s="7">
        <f>IF(OR(D194="",E194="",F194="",C194=""),"",IF(C194="short",(D194-F194)/ABS(D194-E194),(F194-D194)/ABS(D194-E194)))</f>
        <v/>
      </c>
      <c r="I194" s="8">
        <f>IF(H194="","",IF(H194&gt;0,"Win",IF(H194&lt;0,"Loss","Breakeven")))</f>
        <v/>
      </c>
      <c r="J194" s="6" t="n"/>
      <c r="K194" s="6" t="n"/>
    </row>
    <row r="195">
      <c r="A195" s="5" t="n"/>
      <c r="B195" s="6" t="n"/>
      <c r="C195" s="6" t="n"/>
      <c r="D195" s="6" t="n"/>
      <c r="E195" s="6" t="n"/>
      <c r="F195" s="6" t="n"/>
      <c r="G195" s="6" t="n"/>
      <c r="H195" s="7">
        <f>IF(OR(D195="",E195="",F195="",C195=""),"",IF(C195="short",(D195-F195)/ABS(D195-E195),(F195-D195)/ABS(D195-E195)))</f>
        <v/>
      </c>
      <c r="I195" s="8">
        <f>IF(H195="","",IF(H195&gt;0,"Win",IF(H195&lt;0,"Loss","Breakeven")))</f>
        <v/>
      </c>
      <c r="J195" s="6" t="n"/>
      <c r="K195" s="6" t="n"/>
    </row>
    <row r="196">
      <c r="A196" s="5" t="n"/>
      <c r="B196" s="6" t="n"/>
      <c r="C196" s="6" t="n"/>
      <c r="D196" s="6" t="n"/>
      <c r="E196" s="6" t="n"/>
      <c r="F196" s="6" t="n"/>
      <c r="G196" s="6" t="n"/>
      <c r="H196" s="7">
        <f>IF(OR(D196="",E196="",F196="",C196=""),"",IF(C196="short",(D196-F196)/ABS(D196-E196),(F196-D196)/ABS(D196-E196)))</f>
        <v/>
      </c>
      <c r="I196" s="8">
        <f>IF(H196="","",IF(H196&gt;0,"Win",IF(H196&lt;0,"Loss","Breakeven")))</f>
        <v/>
      </c>
      <c r="J196" s="6" t="n"/>
      <c r="K196" s="6" t="n"/>
    </row>
    <row r="197">
      <c r="A197" s="5" t="n"/>
      <c r="B197" s="6" t="n"/>
      <c r="C197" s="6" t="n"/>
      <c r="D197" s="6" t="n"/>
      <c r="E197" s="6" t="n"/>
      <c r="F197" s="6" t="n"/>
      <c r="G197" s="6" t="n"/>
      <c r="H197" s="7">
        <f>IF(OR(D197="",E197="",F197="",C197=""),"",IF(C197="short",(D197-F197)/ABS(D197-E197),(F197-D197)/ABS(D197-E197)))</f>
        <v/>
      </c>
      <c r="I197" s="8">
        <f>IF(H197="","",IF(H197&gt;0,"Win",IF(H197&lt;0,"Loss","Breakeven")))</f>
        <v/>
      </c>
      <c r="J197" s="6" t="n"/>
      <c r="K197" s="6" t="n"/>
    </row>
    <row r="198">
      <c r="A198" s="5" t="n"/>
      <c r="B198" s="6" t="n"/>
      <c r="C198" s="6" t="n"/>
      <c r="D198" s="6" t="n"/>
      <c r="E198" s="6" t="n"/>
      <c r="F198" s="6" t="n"/>
      <c r="G198" s="6" t="n"/>
      <c r="H198" s="7">
        <f>IF(OR(D198="",E198="",F198="",C198=""),"",IF(C198="short",(D198-F198)/ABS(D198-E198),(F198-D198)/ABS(D198-E198)))</f>
        <v/>
      </c>
      <c r="I198" s="8">
        <f>IF(H198="","",IF(H198&gt;0,"Win",IF(H198&lt;0,"Loss","Breakeven")))</f>
        <v/>
      </c>
      <c r="J198" s="6" t="n"/>
      <c r="K198" s="6" t="n"/>
    </row>
    <row r="199">
      <c r="A199" s="5" t="n"/>
      <c r="B199" s="6" t="n"/>
      <c r="C199" s="6" t="n"/>
      <c r="D199" s="6" t="n"/>
      <c r="E199" s="6" t="n"/>
      <c r="F199" s="6" t="n"/>
      <c r="G199" s="6" t="n"/>
      <c r="H199" s="7">
        <f>IF(OR(D199="",E199="",F199="",C199=""),"",IF(C199="short",(D199-F199)/ABS(D199-E199),(F199-D199)/ABS(D199-E199)))</f>
        <v/>
      </c>
      <c r="I199" s="8">
        <f>IF(H199="","",IF(H199&gt;0,"Win",IF(H199&lt;0,"Loss","Breakeven")))</f>
        <v/>
      </c>
      <c r="J199" s="6" t="n"/>
      <c r="K199" s="6" t="n"/>
    </row>
    <row r="200">
      <c r="A200" s="5" t="n"/>
      <c r="B200" s="6" t="n"/>
      <c r="C200" s="6" t="n"/>
      <c r="D200" s="6" t="n"/>
      <c r="E200" s="6" t="n"/>
      <c r="F200" s="6" t="n"/>
      <c r="G200" s="6" t="n"/>
      <c r="H200" s="7">
        <f>IF(OR(D200="",E200="",F200="",C200=""),"",IF(C200="short",(D200-F200)/ABS(D200-E200),(F200-D200)/ABS(D200-E200)))</f>
        <v/>
      </c>
      <c r="I200" s="8">
        <f>IF(H200="","",IF(H200&gt;0,"Win",IF(H200&lt;0,"Loss","Breakeven")))</f>
        <v/>
      </c>
      <c r="J200" s="6" t="n"/>
      <c r="K200" s="6" t="n"/>
    </row>
    <row r="201">
      <c r="A201" s="5" t="n"/>
      <c r="B201" s="6" t="n"/>
      <c r="C201" s="6" t="n"/>
      <c r="D201" s="6" t="n"/>
      <c r="E201" s="6" t="n"/>
      <c r="F201" s="6" t="n"/>
      <c r="G201" s="6" t="n"/>
      <c r="H201" s="7">
        <f>IF(OR(D201="",E201="",F201="",C201=""),"",IF(C201="short",(D201-F201)/ABS(D201-E201),(F201-D201)/ABS(D201-E201)))</f>
        <v/>
      </c>
      <c r="I201" s="8">
        <f>IF(H201="","",IF(H201&gt;0,"Win",IF(H201&lt;0,"Loss","Breakeven")))</f>
        <v/>
      </c>
      <c r="J201" s="6" t="n"/>
      <c r="K201" s="6" t="n"/>
    </row>
    <row r="202">
      <c r="A202" s="5" t="n"/>
      <c r="B202" s="6" t="n"/>
      <c r="C202" s="6" t="n"/>
      <c r="D202" s="6" t="n"/>
      <c r="E202" s="6" t="n"/>
      <c r="F202" s="6" t="n"/>
      <c r="G202" s="6" t="n"/>
      <c r="H202" s="7">
        <f>IF(OR(D202="",E202="",F202="",C202=""),"",IF(C202="short",(D202-F202)/ABS(D202-E202),(F202-D202)/ABS(D202-E202)))</f>
        <v/>
      </c>
      <c r="I202" s="8">
        <f>IF(H202="","",IF(H202&gt;0,"Win",IF(H202&lt;0,"Loss","Breakeven")))</f>
        <v/>
      </c>
      <c r="J202" s="6" t="n"/>
      <c r="K202" s="6" t="n"/>
    </row>
    <row r="203">
      <c r="A203" s="5" t="n"/>
      <c r="B203" s="6" t="n"/>
      <c r="C203" s="6" t="n"/>
      <c r="D203" s="6" t="n"/>
      <c r="E203" s="6" t="n"/>
      <c r="F203" s="6" t="n"/>
      <c r="G203" s="6" t="n"/>
      <c r="H203" s="7">
        <f>IF(OR(D203="",E203="",F203="",C203=""),"",IF(C203="short",(D203-F203)/ABS(D203-E203),(F203-D203)/ABS(D203-E203)))</f>
        <v/>
      </c>
      <c r="I203" s="8">
        <f>IF(H203="","",IF(H203&gt;0,"Win",IF(H203&lt;0,"Loss","Breakeven")))</f>
        <v/>
      </c>
      <c r="J203" s="6" t="n"/>
      <c r="K203" s="6" t="n"/>
    </row>
    <row r="204">
      <c r="A204" s="5" t="n"/>
      <c r="B204" s="6" t="n"/>
      <c r="C204" s="6" t="n"/>
      <c r="D204" s="6" t="n"/>
      <c r="E204" s="6" t="n"/>
      <c r="F204" s="6" t="n"/>
      <c r="G204" s="6" t="n"/>
      <c r="H204" s="7">
        <f>IF(OR(D204="",E204="",F204="",C204=""),"",IF(C204="short",(D204-F204)/ABS(D204-E204),(F204-D204)/ABS(D204-E204)))</f>
        <v/>
      </c>
      <c r="I204" s="8">
        <f>IF(H204="","",IF(H204&gt;0,"Win",IF(H204&lt;0,"Loss","Breakeven")))</f>
        <v/>
      </c>
      <c r="J204" s="6" t="n"/>
      <c r="K204" s="6" t="n"/>
    </row>
  </sheetData>
  <mergeCells count="2">
    <mergeCell ref="A2:K2"/>
    <mergeCell ref="A1:K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showDropDown="0" showInputMessage="0" showErrorMessage="0" allowBlank="1" type="list">
      <formula1>"long,short"</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showDropDown="0" showInputMessage="0" showErrorMessage="0" allowBlank="1" type="list">
      <formula1>"Plan followed,Revenge trade,FOMO entry,Moved stop,Overtraded,Other"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2026-08-04T09:24:32Z</dcterms:created>
  <dcterms:modified xsi:type="dcterms:W3CDTF">2026-08-04T09:24:32Z</dcterms:modified>
</cp:coreProperties>
</file>