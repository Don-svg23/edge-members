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000"/>
    <numFmt numFmtId="166" formatCode="$#,##0.00"/>
  </numFmts>
  <fonts count="9">
    <font>
      <name val="Calibri"/>
      <family val="2"/>
      <color theme="1"/>
      <sz val="11"/>
      <scheme val="minor"/>
    </font>
    <font>
      <name val="Georgia"/>
      <b val="1"/>
      <color rgb="00191919"/>
      <sz val="18"/>
    </font>
    <font>
      <name val="Calibri"/>
      <i val="1"/>
      <color rgb="005E5E5F"/>
      <sz val="10"/>
    </font>
    <font>
      <name val="Calibri"/>
      <b val="1"/>
      <color rgb="005E5E5F"/>
      <sz val="10"/>
    </font>
    <font>
      <name val="Calibri"/>
      <b val="1"/>
      <color rgb="001A56DB"/>
      <sz val="12"/>
    </font>
    <font>
      <name val="Georgia"/>
      <b val="1"/>
      <color rgb="00191919"/>
      <sz val="13"/>
    </font>
    <font>
      <name val="Georgia"/>
      <b val="1"/>
      <color rgb="00191919"/>
      <sz val="20"/>
    </font>
    <font>
      <name val="Georgia"/>
      <b val="1"/>
      <color rgb="00FFFFFF"/>
      <sz val="11"/>
    </font>
    <font>
      <name val="Calibri"/>
      <color rgb="00191919"/>
      <sz val="11"/>
    </font>
  </fonts>
  <fills count="5">
    <fill>
      <patternFill/>
    </fill>
    <fill>
      <patternFill patternType="gray125"/>
    </fill>
    <fill>
      <patternFill patternType="solid">
        <fgColor rgb="00EAF1FE"/>
      </patternFill>
    </fill>
    <fill>
      <patternFill patternType="solid">
        <fgColor rgb="00F4F3F3"/>
      </patternFill>
    </fill>
    <fill>
      <patternFill patternType="solid">
        <fgColor rgb="00191919"/>
      </patternFill>
    </fill>
  </fills>
  <borders count="2">
    <border>
      <left/>
      <right/>
      <top/>
      <bottom/>
      <diagonal/>
    </border>
    <border>
      <left style="thin">
        <color rgb="00C4C7C7"/>
      </left>
      <right style="thin">
        <color rgb="00C4C7C7"/>
      </right>
      <top style="thin">
        <color rgb="00C4C7C7"/>
      </top>
      <bottom style="thin">
        <color rgb="00C4C7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2" borderId="1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0" borderId="0" pivotButton="0" quotePrefix="0" xfId="0"/>
    <xf numFmtId="166" fontId="6" fillId="3" borderId="1" pivotButton="0" quotePrefix="0" xfId="0"/>
    <xf numFmtId="165" fontId="6" fillId="3" borderId="1" pivotButton="0" quotePrefix="0" xfId="0"/>
    <xf numFmtId="4" fontId="6" fillId="3" borderId="1" pivotButton="0" quotePrefix="0" xfId="0"/>
    <xf numFmtId="49" fontId="6" fillId="3" borderId="1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1" pivotButton="0" quotePrefix="0" xfId="0"/>
    <xf numFmtId="4" fontId="8" fillId="3" borderId="1" pivotButton="0" quotePrefix="0" xfId="0"/>
    <xf numFmtId="166" fontId="8" fillId="3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Edge Trading Co. — Position Size &amp; Risk Calculator</t>
        </is>
      </c>
    </row>
    <row r="2">
      <c r="A2" s="2" t="inlineStr">
        <is>
          <t>Edit the blue inputs. Everything else recalculates instantly.</t>
        </is>
      </c>
    </row>
    <row r="4">
      <c r="A4" s="3" t="inlineStr">
        <is>
          <t>Account balance</t>
        </is>
      </c>
      <c r="B4" s="4" t="n">
        <v>10000</v>
      </c>
    </row>
    <row r="5">
      <c r="A5" s="3" t="inlineStr">
        <is>
          <t>Risk % per trade</t>
        </is>
      </c>
      <c r="B5" s="5" t="n">
        <v>1</v>
      </c>
    </row>
    <row r="6">
      <c r="A6" s="3" t="inlineStr">
        <is>
          <t>Entry price</t>
        </is>
      </c>
      <c r="B6" s="6" t="n">
        <v>100</v>
      </c>
    </row>
    <row r="7">
      <c r="A7" s="3" t="inlineStr">
        <is>
          <t>Stop price</t>
        </is>
      </c>
      <c r="B7" s="6" t="n">
        <v>98</v>
      </c>
    </row>
    <row r="8">
      <c r="A8" s="3" t="inlineStr">
        <is>
          <t>Target price (optional)</t>
        </is>
      </c>
      <c r="B8" s="6" t="n">
        <v>106</v>
      </c>
    </row>
    <row r="10">
      <c r="A10" s="7" t="inlineStr">
        <is>
          <t>Results</t>
        </is>
      </c>
    </row>
    <row r="11">
      <c r="A11" s="3" t="inlineStr">
        <is>
          <t>$ at risk</t>
        </is>
      </c>
      <c r="B11" s="8">
        <f>B4*(B5/100)</f>
        <v/>
      </c>
    </row>
    <row r="12">
      <c r="A12" s="3" t="inlineStr">
        <is>
          <t>Per-unit risk</t>
        </is>
      </c>
      <c r="B12" s="9">
        <f>ABS(B6-B7)</f>
        <v/>
      </c>
    </row>
    <row r="13">
      <c r="A13" s="3" t="inlineStr">
        <is>
          <t>Position size (units)</t>
        </is>
      </c>
      <c r="B13" s="10">
        <f>IFERROR((B4*(B5/100))/ABS(B6-B7),0)</f>
        <v/>
      </c>
    </row>
    <row r="14">
      <c r="A14" s="3" t="inlineStr">
        <is>
          <t>Position value</t>
        </is>
      </c>
      <c r="B14" s="8">
        <f>IFERROR(((B4*(B5/100))/ABS(B6-B7))*B6,0)</f>
        <v/>
      </c>
    </row>
    <row r="15">
      <c r="A15" s="3" t="inlineStr">
        <is>
          <t>Risk : reward</t>
        </is>
      </c>
      <c r="B15" s="11">
        <f>IF(B8=0,"—",TEXT(ABS(B8-B6)/ABS(B6-B7),"0.00")&amp;" : 1")</f>
        <v/>
      </c>
    </row>
    <row r="18">
      <c r="A18" s="7" t="inlineStr">
        <is>
          <t>Compare multiple setups</t>
        </is>
      </c>
    </row>
    <row r="19">
      <c r="A19" s="12" t="inlineStr">
        <is>
          <t>Symbol</t>
        </is>
      </c>
      <c r="B19" s="12" t="inlineStr">
        <is>
          <t>Entry</t>
        </is>
      </c>
      <c r="C19" s="12" t="inlineStr">
        <is>
          <t>Stop</t>
        </is>
      </c>
      <c r="D19" s="12" t="inlineStr">
        <is>
          <t>Target</t>
        </is>
      </c>
      <c r="E19" s="12" t="inlineStr">
        <is>
          <t>Position size</t>
        </is>
      </c>
      <c r="F19" s="12" t="inlineStr">
        <is>
          <t>$ at risk</t>
        </is>
      </c>
      <c r="G19" s="12" t="inlineStr">
        <is>
          <t>R:R</t>
        </is>
      </c>
    </row>
    <row r="20">
      <c r="A20" s="13" t="n"/>
      <c r="B20" s="13" t="n"/>
      <c r="C20" s="13" t="n"/>
      <c r="D20" s="13" t="n"/>
      <c r="E20" s="14">
        <f>IF(OR(B20="",C20=""),"",(B4*(B5/100))/ABS(B20-C20))</f>
        <v/>
      </c>
      <c r="F20" s="15">
        <f>IF(OR(B20="",C20=""),"",B4*(B5/100))</f>
        <v/>
      </c>
      <c r="G20" s="16">
        <f>IF(OR(B20="",C20="",D20=""),"",TEXT(ABS(D20-B20)/ABS(B20-C20),"0.00")&amp;" : 1")</f>
        <v/>
      </c>
    </row>
    <row r="21">
      <c r="A21" s="13" t="n"/>
      <c r="B21" s="13" t="n"/>
      <c r="C21" s="13" t="n"/>
      <c r="D21" s="13" t="n"/>
      <c r="E21" s="14">
        <f>IF(OR(B21="",C21=""),"",(B4*(B5/100))/ABS(B21-C21))</f>
        <v/>
      </c>
      <c r="F21" s="15">
        <f>IF(OR(B21="",C21=""),"",B4*(B5/100))</f>
        <v/>
      </c>
      <c r="G21" s="16">
        <f>IF(OR(B21="",C21="",D21=""),"",TEXT(ABS(D21-B21)/ABS(B21-C21),"0.00")&amp;" : 1")</f>
        <v/>
      </c>
    </row>
    <row r="22">
      <c r="A22" s="13" t="n"/>
      <c r="B22" s="13" t="n"/>
      <c r="C22" s="13" t="n"/>
      <c r="D22" s="13" t="n"/>
      <c r="E22" s="14">
        <f>IF(OR(B22="",C22=""),"",(B4*(B5/100))/ABS(B22-C22))</f>
        <v/>
      </c>
      <c r="F22" s="15">
        <f>IF(OR(B22="",C22=""),"",B4*(B5/100))</f>
        <v/>
      </c>
      <c r="G22" s="16">
        <f>IF(OR(B22="",C22="",D22=""),"",TEXT(ABS(D22-B22)/ABS(B22-C22),"0.00")&amp;" : 1")</f>
        <v/>
      </c>
    </row>
    <row r="23">
      <c r="A23" s="13" t="n"/>
      <c r="B23" s="13" t="n"/>
      <c r="C23" s="13" t="n"/>
      <c r="D23" s="13" t="n"/>
      <c r="E23" s="14">
        <f>IF(OR(B23="",C23=""),"",(B4*(B5/100))/ABS(B23-C23))</f>
        <v/>
      </c>
      <c r="F23" s="15">
        <f>IF(OR(B23="",C23=""),"",B4*(B5/100))</f>
        <v/>
      </c>
      <c r="G23" s="16">
        <f>IF(OR(B23="",C23="",D23=""),"",TEXT(ABS(D23-B23)/ABS(B23-C23),"0.00")&amp;" : 1")</f>
        <v/>
      </c>
    </row>
    <row r="24">
      <c r="A24" s="13" t="n"/>
      <c r="B24" s="13" t="n"/>
      <c r="C24" s="13" t="n"/>
      <c r="D24" s="13" t="n"/>
      <c r="E24" s="14">
        <f>IF(OR(B24="",C24=""),"",(B4*(B5/100))/ABS(B24-C24))</f>
        <v/>
      </c>
      <c r="F24" s="15">
        <f>IF(OR(B24="",C24=""),"",B4*(B5/100))</f>
        <v/>
      </c>
      <c r="G24" s="16">
        <f>IF(OR(B24="",C24="",D24=""),"",TEXT(ABS(D24-B24)/ABS(B24-C24),"0.00")&amp;" : 1")</f>
        <v/>
      </c>
    </row>
    <row r="25">
      <c r="A25" s="13" t="n"/>
      <c r="B25" s="13" t="n"/>
      <c r="C25" s="13" t="n"/>
      <c r="D25" s="13" t="n"/>
      <c r="E25" s="14">
        <f>IF(OR(B25="",C25=""),"",(B4*(B5/100))/ABS(B25-C25))</f>
        <v/>
      </c>
      <c r="F25" s="15">
        <f>IF(OR(B25="",C25=""),"",B4*(B5/100))</f>
        <v/>
      </c>
      <c r="G25" s="16">
        <f>IF(OR(B25="",C25="",D25=""),"",TEXT(ABS(D25-B25)/ABS(B25-C25),"0.00")&amp;" : 1")</f>
        <v/>
      </c>
    </row>
    <row r="26">
      <c r="A26" s="13" t="n"/>
      <c r="B26" s="13" t="n"/>
      <c r="C26" s="13" t="n"/>
      <c r="D26" s="13" t="n"/>
      <c r="E26" s="14">
        <f>IF(OR(B26="",C26=""),"",(B4*(B5/100))/ABS(B26-C26))</f>
        <v/>
      </c>
      <c r="F26" s="15">
        <f>IF(OR(B26="",C26=""),"",B4*(B5/100))</f>
        <v/>
      </c>
      <c r="G26" s="16">
        <f>IF(OR(B26="",C26="",D26=""),"",TEXT(ABS(D26-B26)/ABS(B26-C26),"0.00")&amp;" : 1")</f>
        <v/>
      </c>
    </row>
    <row r="27">
      <c r="A27" s="13" t="n"/>
      <c r="B27" s="13" t="n"/>
      <c r="C27" s="13" t="n"/>
      <c r="D27" s="13" t="n"/>
      <c r="E27" s="14">
        <f>IF(OR(B27="",C27=""),"",(B4*(B5/100))/ABS(B27-C27))</f>
        <v/>
      </c>
      <c r="F27" s="15">
        <f>IF(OR(B27="",C27=""),"",B4*(B5/100))</f>
        <v/>
      </c>
      <c r="G27" s="16">
        <f>IF(OR(B27="",C27="",D27=""),"",TEXT(ABS(D27-B27)/ABS(B27-C27),"0.00")&amp;" : 1")</f>
        <v/>
      </c>
    </row>
    <row r="28">
      <c r="A28" s="13" t="n"/>
      <c r="B28" s="13" t="n"/>
      <c r="C28" s="13" t="n"/>
      <c r="D28" s="13" t="n"/>
      <c r="E28" s="14">
        <f>IF(OR(B28="",C28=""),"",(B4*(B5/100))/ABS(B28-C28))</f>
        <v/>
      </c>
      <c r="F28" s="15">
        <f>IF(OR(B28="",C28=""),"",B4*(B5/100))</f>
        <v/>
      </c>
      <c r="G28" s="16">
        <f>IF(OR(B28="",C28="",D28=""),"",TEXT(ABS(D28-B28)/ABS(B28-C28),"0.00")&amp;" : 1")</f>
        <v/>
      </c>
    </row>
    <row r="29">
      <c r="A29" s="13" t="n"/>
      <c r="B29" s="13" t="n"/>
      <c r="C29" s="13" t="n"/>
      <c r="D29" s="13" t="n"/>
      <c r="E29" s="14">
        <f>IF(OR(B29="",C29=""),"",(B4*(B5/100))/ABS(B29-C29))</f>
        <v/>
      </c>
      <c r="F29" s="15">
        <f>IF(OR(B29="",C29=""),"",B4*(B5/100))</f>
        <v/>
      </c>
      <c r="G29" s="16">
        <f>IF(OR(B29="",C29="",D29=""),"",TEXT(ABS(D29-B29)/ABS(B29-C29),"0.00")&amp;" : 1")</f>
        <v/>
      </c>
    </row>
    <row r="30">
      <c r="A30" s="13" t="n"/>
      <c r="B30" s="13" t="n"/>
      <c r="C30" s="13" t="n"/>
      <c r="D30" s="13" t="n"/>
      <c r="E30" s="14">
        <f>IF(OR(B30="",C30=""),"",(B4*(B5/100))/ABS(B30-C30))</f>
        <v/>
      </c>
      <c r="F30" s="15">
        <f>IF(OR(B30="",C30=""),"",B4*(B5/100))</f>
        <v/>
      </c>
      <c r="G30" s="16">
        <f>IF(OR(B30="",C30="",D30=""),"",TEXT(ABS(D30-B30)/ABS(B30-C30),"0.00")&amp;" : 1")</f>
        <v/>
      </c>
    </row>
    <row r="31">
      <c r="A31" s="13" t="n"/>
      <c r="B31" s="13" t="n"/>
      <c r="C31" s="13" t="n"/>
      <c r="D31" s="13" t="n"/>
      <c r="E31" s="14">
        <f>IF(OR(B31="",C31=""),"",(B4*(B5/100))/ABS(B31-C31))</f>
        <v/>
      </c>
      <c r="F31" s="15">
        <f>IF(OR(B31="",C31=""),"",B4*(B5/100))</f>
        <v/>
      </c>
      <c r="G31" s="16">
        <f>IF(OR(B31="",C31="",D31=""),"",TEXT(ABS(D31-B31)/ABS(B31-C31),"0.00")&amp;" : 1")</f>
        <v/>
      </c>
    </row>
    <row r="32">
      <c r="A32" s="13" t="n"/>
      <c r="B32" s="13" t="n"/>
      <c r="C32" s="13" t="n"/>
      <c r="D32" s="13" t="n"/>
      <c r="E32" s="14">
        <f>IF(OR(B32="",C32=""),"",(B4*(B5/100))/ABS(B32-C32))</f>
        <v/>
      </c>
      <c r="F32" s="15">
        <f>IF(OR(B32="",C32=""),"",B4*(B5/100))</f>
        <v/>
      </c>
      <c r="G32" s="16">
        <f>IF(OR(B32="",C32="",D32=""),"",TEXT(ABS(D32-B32)/ABS(B32-C32),"0.00")&amp;" : 1")</f>
        <v/>
      </c>
    </row>
    <row r="33">
      <c r="A33" s="13" t="n"/>
      <c r="B33" s="13" t="n"/>
      <c r="C33" s="13" t="n"/>
      <c r="D33" s="13" t="n"/>
      <c r="E33" s="14">
        <f>IF(OR(B33="",C33=""),"",(B4*(B5/100))/ABS(B33-C33))</f>
        <v/>
      </c>
      <c r="F33" s="15">
        <f>IF(OR(B33="",C33=""),"",B4*(B5/100))</f>
        <v/>
      </c>
      <c r="G33" s="16">
        <f>IF(OR(B33="",C33="",D33=""),"",TEXT(ABS(D33-B33)/ABS(B33-C33),"0.00")&amp;" : 1")</f>
        <v/>
      </c>
    </row>
    <row r="34">
      <c r="A34" s="13" t="n"/>
      <c r="B34" s="13" t="n"/>
      <c r="C34" s="13" t="n"/>
      <c r="D34" s="13" t="n"/>
      <c r="E34" s="14">
        <f>IF(OR(B34="",C34=""),"",(B4*(B5/100))/ABS(B34-C34))</f>
        <v/>
      </c>
      <c r="F34" s="15">
        <f>IF(OR(B34="",C34=""),"",B4*(B5/100))</f>
        <v/>
      </c>
      <c r="G34" s="16">
        <f>IF(OR(B34="",C34="",D34=""),"",TEXT(ABS(D34-B34)/ABS(B34-C34),"0.00")&amp;" : 1")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2026-08-04T09:24:32Z</dcterms:created>
  <dcterms:modified xsi:type="dcterms:W3CDTF">2026-08-04T09:24:32Z</dcterms:modified>
</cp:coreProperties>
</file>